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usmi\Documents\excel\"/>
    </mc:Choice>
  </mc:AlternateContent>
  <xr:revisionPtr revIDLastSave="0" documentId="8_{3CB0C185-9DCB-49F2-8694-587552E3AB97}" xr6:coauthVersionLast="47" xr6:coauthVersionMax="47" xr10:uidLastSave="{00000000-0000-0000-0000-000000000000}"/>
  <bookViews>
    <workbookView xWindow="-108" yWindow="-108" windowWidth="23256" windowHeight="12456" firstSheet="6" activeTab="11" xr2:uid="{00000000-000D-0000-FFFF-FFFF00000000}"/>
  </bookViews>
  <sheets>
    <sheet name="Employee_Master" sheetId="1" r:id="rId1"/>
    <sheet name="Bonus_Table" sheetId="4" r:id="rId2"/>
    <sheet name="Attendance" sheetId="2" r:id="rId3"/>
    <sheet name="Performance" sheetId="3" r:id="rId4"/>
    <sheet name="If_Statement" sheetId="5" r:id="rId5"/>
    <sheet name="VLOOKUP" sheetId="6" r:id="rId6"/>
    <sheet name="HLOOKUP" sheetId="7" r:id="rId7"/>
    <sheet name="INDEX-MATCH" sheetId="8" r:id="rId8"/>
    <sheet name="Conditional_Formating" sheetId="9" r:id="rId9"/>
    <sheet name="Sort _and_Filter" sheetId="10" r:id="rId10"/>
    <sheet name="Pivot_table" sheetId="12" r:id="rId11"/>
    <sheet name="DashBoard" sheetId="14" r:id="rId12"/>
  </sheets>
  <definedNames>
    <definedName name="_xlnm._FilterDatabase" localSheetId="9" hidden="1">'Sort _and_Filter'!$A$17:$E$25</definedName>
    <definedName name="_xlnm._FilterDatabase" localSheetId="5" hidden="1">VLOOKUP!$A$17:$B$18</definedName>
    <definedName name="_xlcn.WorksheetConnection_AttendanceA1E91" hidden="1">Attendance!$A$1:$E$9</definedName>
    <definedName name="_xlcn.WorksheetConnection_Employee_MasterA1F91" hidden="1">Employee_Master!$A$1:$F$9</definedName>
    <definedName name="_xlcn.WorksheetConnection_Employee_Performance_Attendance_Project.xlsxTable41" hidden="1">Table4[]</definedName>
    <definedName name="_xlcn.WorksheetConnection_Employee_Performance_Attendance_Project.xlsxTable51" hidden="1">Table5[]</definedName>
    <definedName name="_xlcn.WorksheetConnection_Employee_Performance_Attendance_Project.xlsxTable61" hidden="1">Table6[]</definedName>
    <definedName name="_xlcn.WorksheetConnection_PerformanceA1E91" hidden="1">Performance!$A$1:$E$9</definedName>
    <definedName name="Attendance">Attendance!$E$1:$E$9</definedName>
    <definedName name="Attendances">Attendance!$E$2:$E$9</definedName>
    <definedName name="Bonus">Bonus_Table!$A$1:$B$4</definedName>
    <definedName name="Bonus_Trans">Bonus_Table!$A$6:$D$7</definedName>
    <definedName name="Emp">Employee_Master!$A$1:$F$9</definedName>
    <definedName name="Performance">Performance!$A$1:$E$9</definedName>
    <definedName name="Perormance_Score">Performance!$E$1:$E$9</definedName>
    <definedName name="Slicer_Emp_ID">#N/A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s>
  <extLst>
    <ext xmlns:x14="http://schemas.microsoft.com/office/spreadsheetml/2009/9/main" uri="{876F7934-8845-4945-9796-88D515C7AA90}">
      <x14:pivotCaches>
        <pivotCache cacheId="8"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1" name="Range 1" connection="WorksheetConnection_Performance!$A$1:$E$9"/>
          <x15:modelTable id="Table6" name="Table6" connection="WorksheetConnection_Employee_Performance_Attendance_Project.xlsx!Table6"/>
          <x15:modelTable id="Table5" name="Table5" connection="WorksheetConnection_Employee_Performance_Attendance_Project.xlsx!Table5"/>
          <x15:modelTable id="Table4" name="Table4" connection="WorksheetConnection_Employee_Performance_Attendance_Project.xlsx!Table4"/>
          <x15:modelTable id="Range" name="Range" connection="WorksheetConnection_Employee_Master!$A$1:$F$9"/>
          <x15:modelTable id="Range 2" name="Range 2" connection="WorksheetConnection_Attendance!$A$1:$E$9"/>
        </x15:modelTables>
        <x15:modelRelationships>
          <x15:modelRelationship fromTable="Range" fromColumn="Emp_ID" toTable="Range 1" toColumn="Emp_ID"/>
          <x15:modelRelationship fromTable="Range" fromColumn="Emp_ID" toTable="Range 2" toColumn="Emp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8" l="1"/>
  <c r="B11" i="8"/>
  <c r="B6" i="8"/>
  <c r="B16" i="7"/>
  <c r="B6" i="7"/>
  <c r="B11" i="7"/>
  <c r="B6" i="6"/>
  <c r="B18" i="6"/>
  <c r="B7" i="6"/>
  <c r="B8" i="6"/>
  <c r="B9" i="6"/>
  <c r="B10" i="6"/>
  <c r="B11" i="6"/>
  <c r="B12" i="6"/>
  <c r="B13" i="6"/>
  <c r="C19" i="5"/>
  <c r="C20" i="5"/>
  <c r="C21" i="5"/>
  <c r="C22" i="5"/>
  <c r="C23" i="5"/>
  <c r="C24" i="5"/>
  <c r="C25" i="5"/>
  <c r="C18" i="5"/>
  <c r="B6" i="5" a="1"/>
  <c r="B6" i="5" s="1"/>
  <c r="E5" i="3"/>
  <c r="E6" i="3"/>
  <c r="E3" i="2"/>
  <c r="E4" i="2"/>
  <c r="E5" i="2"/>
  <c r="E6" i="2"/>
  <c r="E7" i="2"/>
  <c r="E8" i="2"/>
  <c r="E9" i="2"/>
  <c r="E9" i="3"/>
  <c r="E8" i="3"/>
  <c r="E7" i="3"/>
  <c r="E4" i="3"/>
  <c r="E3" i="3"/>
  <c r="E2" i="3"/>
  <c r="E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541296-3E54-49ED-8B6B-928ADBAF485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04AD33E-50DC-4C0A-B9D0-65E5A4920349}" name="WorksheetConnection_Attendance!$A$1:$E$9" type="102" refreshedVersion="8" minRefreshableVersion="5">
    <extLst>
      <ext xmlns:x15="http://schemas.microsoft.com/office/spreadsheetml/2010/11/main" uri="{DE250136-89BD-433C-8126-D09CA5730AF9}">
        <x15:connection id="Range 2" autoDelete="1">
          <x15:rangePr sourceName="_xlcn.WorksheetConnection_AttendanceA1E91"/>
        </x15:connection>
      </ext>
    </extLst>
  </connection>
  <connection id="3" xr16:uid="{B5B0E9F0-86D8-4616-ABA7-FF2528288B5B}" name="WorksheetConnection_Employee_Master!$A$1:$F$9" type="102" refreshedVersion="8" minRefreshableVersion="5">
    <extLst>
      <ext xmlns:x15="http://schemas.microsoft.com/office/spreadsheetml/2010/11/main" uri="{DE250136-89BD-433C-8126-D09CA5730AF9}">
        <x15:connection id="Range" autoDelete="1">
          <x15:rangePr sourceName="_xlcn.WorksheetConnection_Employee_MasterA1F91"/>
        </x15:connection>
      </ext>
    </extLst>
  </connection>
  <connection id="4" xr16:uid="{4F7AE23C-EED9-44CD-821B-975B02FFCCDA}" name="WorksheetConnection_Employee_Performance_Attendance_Project.xlsx!Table4" type="102" refreshedVersion="8" minRefreshableVersion="5">
    <extLst>
      <ext xmlns:x15="http://schemas.microsoft.com/office/spreadsheetml/2010/11/main" uri="{DE250136-89BD-433C-8126-D09CA5730AF9}">
        <x15:connection id="Table4" autoDelete="1">
          <x15:rangePr sourceName="_xlcn.WorksheetConnection_Employee_Performance_Attendance_Project.xlsxTable41"/>
        </x15:connection>
      </ext>
    </extLst>
  </connection>
  <connection id="5" xr16:uid="{9241912A-B9B8-4A23-8F15-D041070DB87A}" name="WorksheetConnection_Employee_Performance_Attendance_Project.xlsx!Table5" type="102" refreshedVersion="8" minRefreshableVersion="5">
    <extLst>
      <ext xmlns:x15="http://schemas.microsoft.com/office/spreadsheetml/2010/11/main" uri="{DE250136-89BD-433C-8126-D09CA5730AF9}">
        <x15:connection id="Table5" autoDelete="1">
          <x15:rangePr sourceName="_xlcn.WorksheetConnection_Employee_Performance_Attendance_Project.xlsxTable51"/>
        </x15:connection>
      </ext>
    </extLst>
  </connection>
  <connection id="6" xr16:uid="{2B711BD2-1388-4F8A-9D11-9CDF5D90F7A5}" name="WorksheetConnection_Employee_Performance_Attendance_Project.xlsx!Table6" type="102" refreshedVersion="8" minRefreshableVersion="5">
    <extLst>
      <ext xmlns:x15="http://schemas.microsoft.com/office/spreadsheetml/2010/11/main" uri="{DE250136-89BD-433C-8126-D09CA5730AF9}">
        <x15:connection id="Table6" autoDelete="1">
          <x15:rangePr sourceName="_xlcn.WorksheetConnection_Employee_Performance_Attendance_Project.xlsxTable61"/>
        </x15:connection>
      </ext>
    </extLst>
  </connection>
  <connection id="7" xr16:uid="{F66C11CF-9826-4175-9348-905E3F78FE19}" name="WorksheetConnection_Performance!$A$1:$E$9" type="102" refreshedVersion="8" minRefreshableVersion="5">
    <extLst>
      <ext xmlns:x15="http://schemas.microsoft.com/office/spreadsheetml/2010/11/main" uri="{DE250136-89BD-433C-8126-D09CA5730AF9}">
        <x15:connection id="Range 1" autoDelete="1">
          <x15:rangePr sourceName="_xlcn.WorksheetConnection_PerformanceA1E9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<sst xmlns="http://schemas.openxmlformats.org/spreadsheetml/2006/main" count="205" uniqueCount="80">
  <si>
    <t>Emp_ID</t>
  </si>
  <si>
    <t>Name</t>
  </si>
  <si>
    <t>Department</t>
  </si>
  <si>
    <t>Joining_Date</t>
  </si>
  <si>
    <t>Salary</t>
  </si>
  <si>
    <t>Manager</t>
  </si>
  <si>
    <t>Amit Shah</t>
  </si>
  <si>
    <t>Sales</t>
  </si>
  <si>
    <t>2021-04-12</t>
  </si>
  <si>
    <t>Rahul</t>
  </si>
  <si>
    <t>Priya Das</t>
  </si>
  <si>
    <t>HR</t>
  </si>
  <si>
    <t>2020-11-03</t>
  </si>
  <si>
    <t>Anita</t>
  </si>
  <si>
    <t>Rohit Sen</t>
  </si>
  <si>
    <t>IT</t>
  </si>
  <si>
    <t>2022-02-17</t>
  </si>
  <si>
    <t>Sourav</t>
  </si>
  <si>
    <t>Sneha Roy</t>
  </si>
  <si>
    <t>Marketing</t>
  </si>
  <si>
    <t>2021-08-29</t>
  </si>
  <si>
    <t>Arjun</t>
  </si>
  <si>
    <t>Vikram Pal</t>
  </si>
  <si>
    <t>2020-03-19</t>
  </si>
  <si>
    <t>Pooja Jain</t>
  </si>
  <si>
    <t>2021-07-01</t>
  </si>
  <si>
    <t>Ankit Saha</t>
  </si>
  <si>
    <t>Finance</t>
  </si>
  <si>
    <t>2022-09-05</t>
  </si>
  <si>
    <t>Meera</t>
  </si>
  <si>
    <t>Riya Ghosh</t>
  </si>
  <si>
    <t>2021-05-21</t>
  </si>
  <si>
    <t>Month</t>
  </si>
  <si>
    <t>Present_Days</t>
  </si>
  <si>
    <t>Absent_Days</t>
  </si>
  <si>
    <t>Attendance_%</t>
  </si>
  <si>
    <t>Jan</t>
  </si>
  <si>
    <t>Target</t>
  </si>
  <si>
    <t>Achieved</t>
  </si>
  <si>
    <t>Performance_Score</t>
  </si>
  <si>
    <t>Score_Range</t>
  </si>
  <si>
    <t>Bonus</t>
  </si>
  <si>
    <t>0-0.6</t>
  </si>
  <si>
    <t>0.61-0.8</t>
  </si>
  <si>
    <t>0.81-1.0</t>
  </si>
  <si>
    <t>IF Function Questions</t>
  </si>
  <si>
    <t>Attendance low or ok</t>
  </si>
  <si>
    <t>Q1. If Attendance % &lt; 75%, show "Low Attendance", else “OK”.</t>
  </si>
  <si>
    <t>Excellent/Improve</t>
  </si>
  <si>
    <t>Q2. If Performance Score &gt; 0.80→ “Excellent”, else “Improve”.</t>
  </si>
  <si>
    <t>VLOOKUP Questions</t>
  </si>
  <si>
    <t>Q1. Find employee department using Emp_ID.</t>
  </si>
  <si>
    <t>Q2. Check the Target for Employee ID 101 from Performance sheet.</t>
  </si>
  <si>
    <t>HLOOKUP Questions</t>
  </si>
  <si>
    <t>Q1. Find the bonus for category “0.81-1.0”.</t>
  </si>
  <si>
    <t>Q2. Find the bonus for “0-0.6”.</t>
  </si>
  <si>
    <t>Q3. Find the bonus for “0.61-0.8”.</t>
  </si>
  <si>
    <t>INDEX-MATCH Questions</t>
  </si>
  <si>
    <t>Q1. Find Performance Score of Employee ID 103.</t>
  </si>
  <si>
    <t>Q2. Find Department for Employee ID 107.</t>
  </si>
  <si>
    <t>Q3. Find Employee ID for Sneha Roy .</t>
  </si>
  <si>
    <t>Conditional Formating Questions</t>
  </si>
  <si>
    <t>Q1. Highlight Attendance % less than 75%</t>
  </si>
  <si>
    <t>Q2. Highlight top 3 performers.</t>
  </si>
  <si>
    <t>Q1. Sort the Employee_Master sheet by Department, and within each department sort employees by Joining Date (oldest first).</t>
  </si>
  <si>
    <t>Sort and Filter Questions</t>
  </si>
  <si>
    <t>Q2. Filter the Attendance sheet for the month of January, then sort employees by Present Days (Highest to Lowest).</t>
  </si>
  <si>
    <t>Feb</t>
  </si>
  <si>
    <t>Mar</t>
  </si>
  <si>
    <t>Row Labels</t>
  </si>
  <si>
    <t>Grand Total</t>
  </si>
  <si>
    <t>Pivot Table Questions</t>
  </si>
  <si>
    <t>Q1. Department-wise Employee Count.</t>
  </si>
  <si>
    <t>Count of Emp_ID</t>
  </si>
  <si>
    <t>Q2. Average Performance Score</t>
  </si>
  <si>
    <t>Average of Performance_Score</t>
  </si>
  <si>
    <t>Q3. Employee-wise Attendance Percentage</t>
  </si>
  <si>
    <t>Average of Attendance_%</t>
  </si>
  <si>
    <t>Q4. Manager-wise Employee Count</t>
  </si>
  <si>
    <t>Q5. Top 3 Performing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</si>
</sst>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6" tint="-0.499984740745262"/>
        <bgColor indexed="64"/>
      </patternFill>
    </fill>
    <fill>
      <patternFill patternType="solid">
        <fgColor theme="6" tint="0.39997558519241921"/>
        <bgColor indexed="64"/>
      </patternFill>
    </fill>
    <fill>
      <patternFill patternType="solid">
        <fgColor theme="6"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2" fillId="0" borderId="0" applyFont="0" applyFill="0" applyBorder="0" applyAlignment="0" applyProtection="0"/>
  </cellStyleXfs>
  <cellXfs count="35">
    <xf numFmtId="0" fontId="0" fillId="0" borderId="0" xfId="0"/>
    <xf numFmtId="0" fontId="1" fillId="0" borderId="1" xfId="0" applyFont="1" applyBorder="1"/>
    <xf numFmtId="0" fontId="0" fillId="0" borderId="1" xfId="0" applyBorder="1"/>
    <xf numFmtId="9" fontId="0" fillId="0" borderId="1" xfId="1" applyFont="1" applyBorder="1"/>
    <xf numFmtId="0" fontId="1" fillId="0" borderId="0" xfId="0" applyFont="1"/>
    <xf numFmtId="2" fontId="0" fillId="0" borderId="1" xfId="1" applyNumberFormat="1" applyFont="1" applyBorder="1"/>
    <xf numFmtId="2" fontId="0" fillId="0" borderId="1" xfId="0" applyNumberFormat="1" applyBorder="1"/>
    <xf numFmtId="1" fontId="0" fillId="0" borderId="1" xfId="0" applyNumberForma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2" fontId="0" fillId="0" borderId="0" xfId="0" applyNumberFormat="1"/>
    <xf numFmtId="0" fontId="0" fillId="0" borderId="11" xfId="0" applyBorder="1"/>
    <xf numFmtId="0" fontId="0" fillId="0" borderId="12" xfId="0" applyBorder="1"/>
    <xf numFmtId="0" fontId="1" fillId="0" borderId="13" xfId="0" applyFont="1" applyBorder="1"/>
    <xf numFmtId="0" fontId="1" fillId="0" borderId="14" xfId="0" applyFont="1" applyBorder="1"/>
    <xf numFmtId="0" fontId="1" fillId="0" borderId="15" xfId="0" applyFont="1" applyBorder="1"/>
    <xf numFmtId="0" fontId="0" fillId="0" borderId="16" xfId="0" applyBorder="1"/>
    <xf numFmtId="0" fontId="0" fillId="0" borderId="17" xfId="0" applyBorder="1"/>
    <xf numFmtId="0" fontId="0" fillId="0" borderId="18" xfId="0" applyBorder="1"/>
    <xf numFmtId="9" fontId="0" fillId="0" borderId="12" xfId="1" applyFont="1" applyBorder="1"/>
    <xf numFmtId="9" fontId="0" fillId="0" borderId="18" xfId="1" applyFont="1" applyBorder="1"/>
    <xf numFmtId="2" fontId="0" fillId="0" borderId="12" xfId="1" applyNumberFormat="1" applyFont="1" applyBorder="1"/>
    <xf numFmtId="2" fontId="0" fillId="0" borderId="18" xfId="1" applyNumberFormat="1" applyFont="1" applyBorder="1"/>
    <xf numFmtId="0" fontId="0" fillId="2" borderId="0" xfId="0" applyFill="1"/>
    <xf numFmtId="0" fontId="1" fillId="3" borderId="1" xfId="0" applyFont="1" applyFill="1" applyBorder="1"/>
    <xf numFmtId="0" fontId="0" fillId="4" borderId="1" xfId="0" applyFill="1" applyBorder="1"/>
  </cellXfs>
  <cellStyles count="2">
    <cellStyle name="Normal" xfId="0" builtinId="0"/>
    <cellStyle name="Percent" xfId="1" builtinId="5"/>
  </cellStyles>
  <dxfs count="35">
    <dxf>
      <font>
        <b/>
        <i/>
        <color theme="9" tint="-0.24994659260841701"/>
      </font>
    </dxf>
    <dxf>
      <font>
        <color rgb="FF9C0006"/>
      </font>
      <fill>
        <patternFill>
          <bgColor rgb="FFFFC7CE"/>
        </patternFill>
      </fill>
    </dxf>
    <dxf>
      <font>
        <b/>
        <i val="0"/>
        <color theme="5" tint="-0.24994659260841701"/>
      </font>
    </dxf>
    <dxf>
      <font>
        <b/>
        <i val="0"/>
        <color theme="5" tint="-0.24994659260841701"/>
      </font>
    </dxf>
    <dxf>
      <font>
        <b val="0"/>
        <i val="0"/>
        <strike val="0"/>
        <condense val="0"/>
        <extend val="0"/>
        <outline val="0"/>
        <shadow val="0"/>
        <u val="none"/>
        <vertAlign val="baseline"/>
        <sz val="11"/>
        <color theme="1"/>
        <name val="Calibri"/>
        <family val="2"/>
        <scheme val="minor"/>
      </font>
      <numFmt numFmtId="2" formatCode="0.0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2" formatCode="0.00"/>
    </dxf>
    <dxf>
      <numFmt numFmtId="2" formatCode="0.00"/>
    </dxf>
    <dxf>
      <numFmt numFmtId="2" formatCode="0.00"/>
    </dxf>
  </dxfs>
  <tableStyles count="0" defaultTableStyle="TableStyleMedium9" defaultPivotStyle="PivotStyleLight16"/>
  <colors>
    <mruColors>
      <color rgb="FFD6FB93"/>
      <color rgb="FFFFC91D"/>
      <color rgb="FFFFDA65"/>
      <color rgb="FFFFD347"/>
      <color rgb="FF6A9357"/>
      <color rgb="FFBDDFB3"/>
      <color rgb="FFFFDF79"/>
      <color rgb="FFFBFE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1.xml"/><Relationship Id="rId27" Type="http://schemas.openxmlformats.org/officeDocument/2006/relationships/sheetMetadata" Target="metadata.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[Employee_Performance_Attendance_Project.xlsx]Pivot_table!PivotTable14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b="0"/>
              <a:t>Department-wise Employee Count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Pivot_table!$A$6:$A$11</c:f>
              <c:strCache>
                <c:ptCount val="5"/>
                <c:pt idx="0">
                  <c:v>Finance</c:v>
                </c:pt>
                <c:pt idx="1">
                  <c:v>HR</c:v>
                </c:pt>
                <c:pt idx="2">
                  <c:v>IT</c:v>
                </c:pt>
                <c:pt idx="3">
                  <c:v>Marketing</c:v>
                </c:pt>
                <c:pt idx="4">
                  <c:v>Sales</c:v>
                </c:pt>
              </c:strCache>
            </c:strRef>
          </c:cat>
          <c:val>
            <c:numRef>
              <c:f>Pivot_table!$B$6:$B$11</c:f>
              <c:numCache>
                <c:formatCode>General</c:formatCode>
                <c:ptCount val="5"/>
                <c:pt idx="0">
                  <c:v>1</c:v>
                </c:pt>
                <c:pt idx="1">
                  <c:v>2</c:v>
                </c:pt>
                <c:pt idx="2">
                  <c:v>2</c:v>
                </c:pt>
                <c:pt idx="3">
                  <c:v>1</c:v>
                </c:pt>
                <c:pt idx="4">
                  <c:v>2</c:v>
                </c:pt>
              </c:numCache>
            </c:numRef>
          </c:val>
          <c:extLst>
            <c:ext xmlns:c16="http://schemas.microsoft.com/office/drawing/2014/chart" uri="{C3380CC4-5D6E-409C-BE32-E72D297353CC}">
              <c16:uniqueId val="{00000000-E58B-4B0D-A6D9-37074957F3B7}"/>
            </c:ext>
          </c:extLst>
        </c:ser>
        <c:dLbls>
          <c:dLblPos val="inEnd"/>
          <c:showLegendKey val="0"/>
          <c:showVal val="1"/>
          <c:showCatName val="0"/>
          <c:showSerName val="0"/>
          <c:showPercent val="0"/>
          <c:showBubbleSize val="0"/>
        </c:dLbls>
        <c:gapWidth val="100"/>
        <c:overlap val="-24"/>
        <c:axId val="948187328"/>
        <c:axId val="948185888"/>
      </c:barChart>
      <c:catAx>
        <c:axId val="9481873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48185888"/>
        <c:crosses val="autoZero"/>
        <c:auto val="1"/>
        <c:lblAlgn val="ctr"/>
        <c:lblOffset val="100"/>
        <c:noMultiLvlLbl val="0"/>
      </c:catAx>
      <c:valAx>
        <c:axId val="948185888"/>
        <c:scaling>
          <c:orientation val="minMax"/>
        </c:scaling>
        <c:delete val="1"/>
        <c:axPos val="l"/>
        <c:numFmt formatCode="General" sourceLinked="1"/>
        <c:majorTickMark val="none"/>
        <c:minorTickMark val="none"/>
        <c:tickLblPos val="nextTo"/>
        <c:crossAx val="94818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[Employee_Performance_Attendance_Project.xlsx]Pivot_table!PivotTable15</c:name>
    <c:fmtId val="2"/>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IN">
                <a:solidFill>
                  <a:schemeClr val="tx2"/>
                </a:solidFill>
              </a:rPr>
              <a:t>Average Performance Score</a:t>
            </a:r>
          </a:p>
        </c:rich>
      </c:tx>
      <c:layout>
        <c:manualLayout>
          <c:xMode val="edge"/>
          <c:yMode val="edge"/>
          <c:x val="0.43814514739711591"/>
          <c:y val="4.84933282082258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pivotFmt>
      <c:pivotFmt>
        <c:idx val="4"/>
        <c:spPr>
          <a:solidFill>
            <a:schemeClr val="accent3">
              <a:lumMod val="75000"/>
            </a:schemeClr>
          </a:solidFill>
          <a:ln>
            <a:noFill/>
          </a:ln>
          <a:effectLst/>
        </c:spPr>
      </c:pivotFmt>
      <c:pivotFmt>
        <c:idx val="5"/>
        <c:spPr>
          <a:solidFill>
            <a:schemeClr val="accent3">
              <a:lumMod val="75000"/>
            </a:schemeClr>
          </a:solidFill>
          <a:ln>
            <a:noFill/>
          </a:ln>
          <a:effectLst/>
        </c:spPr>
      </c:pivotFmt>
      <c:pivotFmt>
        <c:idx val="6"/>
        <c:spPr>
          <a:solidFill>
            <a:schemeClr val="accent3">
              <a:lumMod val="75000"/>
            </a:schemeClr>
          </a:solidFill>
          <a:ln>
            <a:noFill/>
          </a:ln>
          <a:effectLst/>
        </c:spPr>
      </c:pivotFmt>
    </c:pivotFmts>
    <c:plotArea>
      <c:layout>
        <c:manualLayout>
          <c:layoutTarget val="inner"/>
          <c:xMode val="edge"/>
          <c:yMode val="edge"/>
          <c:x val="0.19614684988700737"/>
          <c:y val="0.18793300752292572"/>
          <c:w val="0.78133059454524711"/>
          <c:h val="0.73003370103796694"/>
        </c:manualLayout>
      </c:layout>
      <c:barChart>
        <c:barDir val="bar"/>
        <c:grouping val="clustered"/>
        <c:varyColors val="0"/>
        <c:ser>
          <c:idx val="0"/>
          <c:order val="0"/>
          <c:tx>
            <c:strRef>
              <c:f>Pivot_table!$B$15</c:f>
              <c:strCache>
                <c:ptCount val="1"/>
                <c:pt idx="0">
                  <c:v>Total</c:v>
                </c:pt>
              </c:strCache>
            </c:strRef>
          </c:tx>
          <c:spPr>
            <a:solidFill>
              <a:schemeClr val="accent3"/>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5-DCF7-4DD0-BF76-4E04CB5DA873}"/>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4-DCF7-4DD0-BF76-4E04CB5DA873}"/>
              </c:ext>
            </c:extLst>
          </c:dPt>
          <c:dPt>
            <c:idx val="4"/>
            <c:invertIfNegative val="0"/>
            <c:bubble3D val="0"/>
            <c:spPr>
              <a:solidFill>
                <a:schemeClr val="accent3">
                  <a:lumMod val="75000"/>
                </a:schemeClr>
              </a:solidFill>
              <a:ln>
                <a:noFill/>
              </a:ln>
              <a:effectLst/>
            </c:spPr>
            <c:extLst>
              <c:ext xmlns:c16="http://schemas.microsoft.com/office/drawing/2014/chart" uri="{C3380CC4-5D6E-409C-BE32-E72D297353CC}">
                <c16:uniqueId val="{00000003-DCF7-4DD0-BF76-4E04CB5DA873}"/>
              </c:ext>
            </c:extLst>
          </c:dPt>
          <c:dPt>
            <c:idx val="6"/>
            <c:invertIfNegative val="0"/>
            <c:bubble3D val="0"/>
            <c:spPr>
              <a:solidFill>
                <a:schemeClr val="accent3">
                  <a:lumMod val="75000"/>
                </a:schemeClr>
              </a:solidFill>
              <a:ln>
                <a:noFill/>
              </a:ln>
              <a:effectLst/>
            </c:spPr>
            <c:extLst>
              <c:ext xmlns:c16="http://schemas.microsoft.com/office/drawing/2014/chart" uri="{C3380CC4-5D6E-409C-BE32-E72D297353CC}">
                <c16:uniqueId val="{00000002-DCF7-4DD0-BF76-4E04CB5DA8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Pivot_table!$A$16:$A$24</c:f>
              <c:strCache>
                <c:ptCount val="8"/>
                <c:pt idx="0">
                  <c:v>101</c:v>
                </c:pt>
                <c:pt idx="1">
                  <c:v>102</c:v>
                </c:pt>
                <c:pt idx="2">
                  <c:v>103</c:v>
                </c:pt>
                <c:pt idx="3">
                  <c:v>104</c:v>
                </c:pt>
                <c:pt idx="4">
                  <c:v>105</c:v>
                </c:pt>
                <c:pt idx="5">
                  <c:v>106</c:v>
                </c:pt>
                <c:pt idx="6">
                  <c:v>107</c:v>
                </c:pt>
                <c:pt idx="7">
                  <c:v>108</c:v>
                </c:pt>
              </c:strCache>
            </c:strRef>
          </c:cat>
          <c:val>
            <c:numRef>
              <c:f>Pivot_table!$B$16:$B$24</c:f>
              <c:numCache>
                <c:formatCode>0.00</c:formatCode>
                <c:ptCount val="8"/>
                <c:pt idx="0">
                  <c:v>0.9</c:v>
                </c:pt>
                <c:pt idx="1">
                  <c:v>0.8</c:v>
                </c:pt>
                <c:pt idx="2">
                  <c:v>0.91666666666666663</c:v>
                </c:pt>
                <c:pt idx="3">
                  <c:v>0.66666666666666663</c:v>
                </c:pt>
                <c:pt idx="4">
                  <c:v>0.89090909090909087</c:v>
                </c:pt>
                <c:pt idx="5">
                  <c:v>0.91666666666666663</c:v>
                </c:pt>
                <c:pt idx="6">
                  <c:v>0.73076923076923073</c:v>
                </c:pt>
                <c:pt idx="7">
                  <c:v>0.95238095238095233</c:v>
                </c:pt>
              </c:numCache>
            </c:numRef>
          </c:val>
          <c:extLst>
            <c:ext xmlns:c16="http://schemas.microsoft.com/office/drawing/2014/chart" uri="{C3380CC4-5D6E-409C-BE32-E72D297353CC}">
              <c16:uniqueId val="{00000000-DCF7-4DD0-BF76-4E04CB5DA873}"/>
            </c:ext>
          </c:extLst>
        </c:ser>
        <c:dLbls>
          <c:dLblPos val="outEnd"/>
          <c:showLegendKey val="0"/>
          <c:showVal val="1"/>
          <c:showCatName val="0"/>
          <c:showSerName val="0"/>
          <c:showPercent val="0"/>
          <c:showBubbleSize val="0"/>
        </c:dLbls>
        <c:gapWidth val="182"/>
        <c:axId val="1405045904"/>
        <c:axId val="1405044464"/>
      </c:barChart>
      <c:catAx>
        <c:axId val="140504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44464"/>
        <c:crosses val="autoZero"/>
        <c:auto val="1"/>
        <c:lblAlgn val="ctr"/>
        <c:lblOffset val="100"/>
        <c:noMultiLvlLbl val="0"/>
      </c:catAx>
      <c:valAx>
        <c:axId val="1405044464"/>
        <c:scaling>
          <c:orientation val="minMax"/>
        </c:scaling>
        <c:delete val="1"/>
        <c:axPos val="b"/>
        <c:numFmt formatCode="0.00" sourceLinked="1"/>
        <c:majorTickMark val="none"/>
        <c:minorTickMark val="none"/>
        <c:tickLblPos val="nextTo"/>
        <c:crossAx val="140504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[Employee_Performance_Attendance_Project.xlsx]Pivot_table!PivotTable16</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Employee-wise Attendance Percentage</a:t>
            </a:r>
          </a:p>
        </c:rich>
      </c:tx>
      <c:layout>
        <c:manualLayout>
          <c:xMode val="edge"/>
          <c:yMode val="edge"/>
          <c:x val="0.14844153621113565"/>
          <c:y val="0.12397938713074878"/>
        </c:manualLayout>
      </c:layout>
      <c:overlay val="0"/>
      <c:spPr>
        <a:solidFill>
          <a:schemeClr val="accent3">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525691699604744E-2"/>
          <c:y val="0.32042927773563185"/>
          <c:w val="0.92753623188405798"/>
          <c:h val="0.44713553247704502"/>
        </c:manualLayout>
      </c:layout>
      <c:lineChart>
        <c:grouping val="standard"/>
        <c:varyColors val="0"/>
        <c:ser>
          <c:idx val="0"/>
          <c:order val="0"/>
          <c:tx>
            <c:strRef>
              <c:f>Pivot_table!$B$28</c:f>
              <c:strCache>
                <c:ptCount val="1"/>
                <c:pt idx="0">
                  <c:v>Total</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Pivot_table!$A$29:$A$37</c:f>
              <c:strCache>
                <c:ptCount val="8"/>
                <c:pt idx="0">
                  <c:v>101</c:v>
                </c:pt>
                <c:pt idx="1">
                  <c:v>102</c:v>
                </c:pt>
                <c:pt idx="2">
                  <c:v>103</c:v>
                </c:pt>
                <c:pt idx="3">
                  <c:v>104</c:v>
                </c:pt>
                <c:pt idx="4">
                  <c:v>105</c:v>
                </c:pt>
                <c:pt idx="5">
                  <c:v>106</c:v>
                </c:pt>
                <c:pt idx="6">
                  <c:v>107</c:v>
                </c:pt>
                <c:pt idx="7">
                  <c:v>108</c:v>
                </c:pt>
              </c:strCache>
            </c:strRef>
          </c:cat>
          <c:val>
            <c:numRef>
              <c:f>Pivot_table!$B$29:$B$37</c:f>
              <c:numCache>
                <c:formatCode>0.00</c:formatCode>
                <c:ptCount val="8"/>
                <c:pt idx="0">
                  <c:v>0.91666666666666663</c:v>
                </c:pt>
                <c:pt idx="1">
                  <c:v>0.83333333333333337</c:v>
                </c:pt>
                <c:pt idx="2">
                  <c:v>0.75</c:v>
                </c:pt>
                <c:pt idx="3">
                  <c:v>0.95833333333333337</c:v>
                </c:pt>
                <c:pt idx="4">
                  <c:v>0.79166666666666663</c:v>
                </c:pt>
                <c:pt idx="5">
                  <c:v>0.875</c:v>
                </c:pt>
                <c:pt idx="6">
                  <c:v>0.83333333333333337</c:v>
                </c:pt>
                <c:pt idx="7">
                  <c:v>1</c:v>
                </c:pt>
              </c:numCache>
            </c:numRef>
          </c:val>
          <c:smooth val="0"/>
          <c:extLst>
            <c:ext xmlns:c16="http://schemas.microsoft.com/office/drawing/2014/chart" uri="{C3380CC4-5D6E-409C-BE32-E72D297353CC}">
              <c16:uniqueId val="{00000000-EDE3-4408-9FF0-AC46A965F811}"/>
            </c:ext>
          </c:extLst>
        </c:ser>
        <c:dLbls>
          <c:dLblPos val="t"/>
          <c:showLegendKey val="0"/>
          <c:showVal val="1"/>
          <c:showCatName val="0"/>
          <c:showSerName val="0"/>
          <c:showPercent val="0"/>
          <c:showBubbleSize val="0"/>
        </c:dLbls>
        <c:smooth val="0"/>
        <c:axId val="975317120"/>
        <c:axId val="975320960"/>
      </c:lineChart>
      <c:catAx>
        <c:axId val="97531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5320960"/>
        <c:crosses val="autoZero"/>
        <c:auto val="1"/>
        <c:lblAlgn val="ctr"/>
        <c:lblOffset val="100"/>
        <c:noMultiLvlLbl val="0"/>
      </c:catAx>
      <c:valAx>
        <c:axId val="975320960"/>
        <c:scaling>
          <c:orientation val="minMax"/>
        </c:scaling>
        <c:delete val="1"/>
        <c:axPos val="l"/>
        <c:numFmt formatCode="0.00" sourceLinked="1"/>
        <c:majorTickMark val="none"/>
        <c:minorTickMark val="none"/>
        <c:tickLblPos val="nextTo"/>
        <c:crossAx val="97531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[Employee_Performance_Attendance_Project.xlsx]Pivot_table!PivotTable17</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b="0"/>
              <a:t>Manager-wise Employee Count</a:t>
            </a:r>
          </a:p>
        </c:rich>
      </c:tx>
      <c:layout>
        <c:manualLayout>
          <c:xMode val="edge"/>
          <c:yMode val="edge"/>
          <c:x val="0.27668044619422572"/>
          <c:y val="6.32393812948028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3">
                  <a:shade val="53000"/>
                  <a:shade val="51000"/>
                  <a:satMod val="130000"/>
                </a:schemeClr>
              </a:gs>
              <a:gs pos="80000">
                <a:schemeClr val="accent3">
                  <a:shade val="53000"/>
                  <a:shade val="93000"/>
                  <a:satMod val="130000"/>
                </a:schemeClr>
              </a:gs>
              <a:gs pos="100000">
                <a:schemeClr val="accent3">
                  <a:shade val="53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3">
                  <a:tint val="54000"/>
                  <a:shade val="51000"/>
                  <a:satMod val="130000"/>
                </a:schemeClr>
              </a:gs>
              <a:gs pos="80000">
                <a:schemeClr val="accent3">
                  <a:tint val="54000"/>
                  <a:shade val="93000"/>
                  <a:satMod val="130000"/>
                </a:schemeClr>
              </a:gs>
              <a:gs pos="100000">
                <a:schemeClr val="accent3">
                  <a:tint val="54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manualLayout>
          <c:layoutTarget val="inner"/>
          <c:xMode val="edge"/>
          <c:yMode val="edge"/>
          <c:x val="0.27847528433945756"/>
          <c:y val="0.19233408606265467"/>
          <c:w val="0.4555170603674541"/>
          <c:h val="0.7525934470268999"/>
        </c:manualLayout>
      </c:layout>
      <c:doughnutChart>
        <c:varyColors val="1"/>
        <c:ser>
          <c:idx val="0"/>
          <c:order val="0"/>
          <c:tx>
            <c:strRef>
              <c:f>Pivot_table!$B$41</c:f>
              <c:strCache>
                <c:ptCount val="1"/>
                <c:pt idx="0">
                  <c:v>Total</c:v>
                </c:pt>
              </c:strCache>
            </c:strRef>
          </c:tx>
          <c:dPt>
            <c:idx val="0"/>
            <c:bubble3D val="0"/>
            <c:spPr>
              <a:gradFill rotWithShape="1">
                <a:gsLst>
                  <a:gs pos="0">
                    <a:schemeClr val="accent3">
                      <a:shade val="53000"/>
                      <a:shade val="51000"/>
                      <a:satMod val="130000"/>
                    </a:schemeClr>
                  </a:gs>
                  <a:gs pos="80000">
                    <a:schemeClr val="accent3">
                      <a:shade val="53000"/>
                      <a:shade val="93000"/>
                      <a:satMod val="130000"/>
                    </a:schemeClr>
                  </a:gs>
                  <a:gs pos="100000">
                    <a:schemeClr val="accent3">
                      <a:shade val="53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FF2F-4D68-8626-B853A41261FE}"/>
              </c:ext>
            </c:extLst>
          </c:dPt>
          <c:dPt>
            <c:idx val="1"/>
            <c:bubble3D val="0"/>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FF2F-4D68-8626-B853A41261F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FF2F-4D68-8626-B853A41261FE}"/>
              </c:ext>
            </c:extLst>
          </c:dPt>
          <c:dPt>
            <c:idx val="3"/>
            <c:bubble3D val="0"/>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FF2F-4D68-8626-B853A41261FE}"/>
              </c:ext>
            </c:extLst>
          </c:dPt>
          <c:dPt>
            <c:idx val="4"/>
            <c:bubble3D val="0"/>
            <c:spPr>
              <a:gradFill rotWithShape="1">
                <a:gsLst>
                  <a:gs pos="0">
                    <a:schemeClr val="accent3">
                      <a:tint val="54000"/>
                      <a:shade val="51000"/>
                      <a:satMod val="130000"/>
                    </a:schemeClr>
                  </a:gs>
                  <a:gs pos="80000">
                    <a:schemeClr val="accent3">
                      <a:tint val="54000"/>
                      <a:shade val="93000"/>
                      <a:satMod val="130000"/>
                    </a:schemeClr>
                  </a:gs>
                  <a:gs pos="100000">
                    <a:schemeClr val="accent3">
                      <a:tint val="54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FF2F-4D68-8626-B853A41261F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Pivot_table!$A$42:$A$47</c:f>
              <c:strCache>
                <c:ptCount val="5"/>
                <c:pt idx="0">
                  <c:v>Anita</c:v>
                </c:pt>
                <c:pt idx="1">
                  <c:v>Arjun</c:v>
                </c:pt>
                <c:pt idx="2">
                  <c:v>Meera</c:v>
                </c:pt>
                <c:pt idx="3">
                  <c:v>Rahul</c:v>
                </c:pt>
                <c:pt idx="4">
                  <c:v>Sourav</c:v>
                </c:pt>
              </c:strCache>
            </c:strRef>
          </c:cat>
          <c:val>
            <c:numRef>
              <c:f>Pivot_table!$B$42:$B$47</c:f>
              <c:numCache>
                <c:formatCode>General</c:formatCode>
                <c:ptCount val="5"/>
                <c:pt idx="0">
                  <c:v>2</c:v>
                </c:pt>
                <c:pt idx="1">
                  <c:v>1</c:v>
                </c:pt>
                <c:pt idx="2">
                  <c:v>1</c:v>
                </c:pt>
                <c:pt idx="3">
                  <c:v>2</c:v>
                </c:pt>
                <c:pt idx="4">
                  <c:v>2</c:v>
                </c:pt>
              </c:numCache>
            </c:numRef>
          </c:val>
          <c:extLst>
            <c:ext xmlns:c16="http://schemas.microsoft.com/office/drawing/2014/chart" uri="{C3380CC4-5D6E-409C-BE32-E72D297353CC}">
              <c16:uniqueId val="{0000000A-FF2F-4D68-8626-B853A41261F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[Employee_Performance_Attendance_Project.xlsx]Pivot_table!PivotTable18</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400" b="1">
                <a:solidFill>
                  <a:schemeClr val="accent3">
                    <a:lumMod val="50000"/>
                  </a:schemeClr>
                </a:solidFill>
              </a:rPr>
              <a:t>Top 3 Performing Employees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2624781277340328"/>
          <c:w val="0.93888888888888888"/>
          <c:h val="0.58404017206182557"/>
        </c:manualLayout>
      </c:layout>
      <c:barChart>
        <c:barDir val="col"/>
        <c:grouping val="clustered"/>
        <c:varyColors val="0"/>
        <c:ser>
          <c:idx val="0"/>
          <c:order val="0"/>
          <c:tx>
            <c:strRef>
              <c:f>Pivot_table!$B$51</c:f>
              <c:strCache>
                <c:ptCount val="1"/>
                <c:pt idx="0">
                  <c:v>Total</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Pivot_table!$A$52:$A$55</c:f>
              <c:strCache>
                <c:ptCount val="3"/>
                <c:pt idx="0">
                  <c:v>108</c:v>
                </c:pt>
                <c:pt idx="1">
                  <c:v>103</c:v>
                </c:pt>
                <c:pt idx="2">
                  <c:v>106</c:v>
                </c:pt>
              </c:strCache>
            </c:strRef>
          </c:cat>
          <c:val>
            <c:numRef>
              <c:f>Pivot_table!$B$52:$B$55</c:f>
              <c:numCache>
                <c:formatCode>0.00</c:formatCode>
                <c:ptCount val="3"/>
                <c:pt idx="0">
                  <c:v>0.95238095238095233</c:v>
                </c:pt>
                <c:pt idx="1">
                  <c:v>0.91666666666666663</c:v>
                </c:pt>
                <c:pt idx="2">
                  <c:v>0.91666666666666663</c:v>
                </c:pt>
              </c:numCache>
            </c:numRef>
          </c:val>
          <c:extLst>
            <c:ext xmlns:c16="http://schemas.microsoft.com/office/drawing/2014/chart" uri="{C3380CC4-5D6E-409C-BE32-E72D297353CC}">
              <c16:uniqueId val="{00000000-69B5-473E-A9A5-9892049828AC}"/>
            </c:ext>
          </c:extLst>
        </c:ser>
        <c:dLbls>
          <c:dLblPos val="outEnd"/>
          <c:showLegendKey val="0"/>
          <c:showVal val="1"/>
          <c:showCatName val="0"/>
          <c:showSerName val="0"/>
          <c:showPercent val="0"/>
          <c:showBubbleSize val="0"/>
        </c:dLbls>
        <c:gapWidth val="355"/>
        <c:overlap val="-70"/>
        <c:axId val="1222338048"/>
        <c:axId val="1222340448"/>
      </c:barChart>
      <c:catAx>
        <c:axId val="12223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22340448"/>
        <c:crosses val="autoZero"/>
        <c:auto val="1"/>
        <c:lblAlgn val="ctr"/>
        <c:lblOffset val="100"/>
        <c:noMultiLvlLbl val="0"/>
      </c:catAx>
      <c:valAx>
        <c:axId val="1222340448"/>
        <c:scaling>
          <c:orientation val="minMax"/>
        </c:scaling>
        <c:delete val="1"/>
        <c:axPos val="l"/>
        <c:numFmt formatCode="0.00" sourceLinked="1"/>
        <c:majorTickMark val="none"/>
        <c:minorTickMark val="none"/>
        <c:tickLblPos val="nextTo"/>
        <c:crossAx val="122233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211391</xdr:colOff>
      <xdr:row>0</xdr:row>
      <xdr:rowOff>160020</xdr:rowOff>
    </xdr:from>
    <xdr:to>
      <xdr:col>7</xdr:col>
      <xdr:colOff>32082</xdr:colOff>
      <xdr:row>15</xdr:row>
      <xdr:rowOff>168442</xdr:rowOff>
    </xdr:to>
    <xdr:graphicFrame macro="">
      <xdr:nvGraphicFramePr>
        <xdr:cNvPr id="2" name="Chart 1">
          <a:extLst>
            <a:ext uri="{FF2B5EF4-FFF2-40B4-BE49-F238E27FC236}">
              <a16:creationId xmlns:a16="http://schemas.microsoft.com/office/drawing/2014/main" id="{B9422411-EFBC-4F6F-BA5D-FA141631D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119915</xdr:colOff>
      <xdr:row>0</xdr:row>
      <xdr:rowOff>168041</xdr:rowOff>
    </xdr:from>
    <xdr:to>
      <xdr:col>13</xdr:col>
      <xdr:colOff>409475</xdr:colOff>
      <xdr:row>12</xdr:row>
      <xdr:rowOff>80210</xdr:rowOff>
    </xdr:to>
    <xdr:graphicFrame macro="">
      <xdr:nvGraphicFramePr>
        <xdr:cNvPr id="3" name="Chart 2">
          <a:extLst>
            <a:ext uri="{FF2B5EF4-FFF2-40B4-BE49-F238E27FC236}">
              <a16:creationId xmlns:a16="http://schemas.microsoft.com/office/drawing/2014/main" id="{F2A87DC4-1F05-4F2B-9583-EB6EFF38C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213760</xdr:colOff>
      <xdr:row>16</xdr:row>
      <xdr:rowOff>88232</xdr:rowOff>
    </xdr:from>
    <xdr:to>
      <xdr:col>7</xdr:col>
      <xdr:colOff>32083</xdr:colOff>
      <xdr:row>27</xdr:row>
      <xdr:rowOff>166837</xdr:rowOff>
    </xdr:to>
    <xdr:graphicFrame macro="">
      <xdr:nvGraphicFramePr>
        <xdr:cNvPr id="4" name="Chart 3">
          <a:extLst>
            <a:ext uri="{FF2B5EF4-FFF2-40B4-BE49-F238E27FC236}">
              <a16:creationId xmlns:a16="http://schemas.microsoft.com/office/drawing/2014/main" id="{01656F73-89DF-448D-951B-1299F5CBC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112295</xdr:colOff>
      <xdr:row>12</xdr:row>
      <xdr:rowOff>159618</xdr:rowOff>
    </xdr:from>
    <xdr:to>
      <xdr:col>13</xdr:col>
      <xdr:colOff>401052</xdr:colOff>
      <xdr:row>27</xdr:row>
      <xdr:rowOff>159618</xdr:rowOff>
    </xdr:to>
    <xdr:graphicFrame macro="">
      <xdr:nvGraphicFramePr>
        <xdr:cNvPr id="5" name="Chart 4">
          <a:extLst>
            <a:ext uri="{FF2B5EF4-FFF2-40B4-BE49-F238E27FC236}">
              <a16:creationId xmlns:a16="http://schemas.microsoft.com/office/drawing/2014/main" id="{D380EF89-15FE-4AE7-BAF0-96047B5E4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489285</xdr:colOff>
      <xdr:row>0</xdr:row>
      <xdr:rowOff>168443</xdr:rowOff>
    </xdr:from>
    <xdr:to>
      <xdr:col>21</xdr:col>
      <xdr:colOff>184485</xdr:colOff>
      <xdr:row>15</xdr:row>
      <xdr:rowOff>144380</xdr:rowOff>
    </xdr:to>
    <xdr:graphicFrame macro="">
      <xdr:nvGraphicFramePr>
        <xdr:cNvPr id="6" name="Chart 5">
          <a:extLst>
            <a:ext uri="{FF2B5EF4-FFF2-40B4-BE49-F238E27FC236}">
              <a16:creationId xmlns:a16="http://schemas.microsoft.com/office/drawing/2014/main" id="{955DE7C0-5A3F-45E5-BA1F-3A7077AC7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513346</xdr:colOff>
      <xdr:row>16</xdr:row>
      <xdr:rowOff>80212</xdr:rowOff>
    </xdr:from>
    <xdr:to>
      <xdr:col>18</xdr:col>
      <xdr:colOff>489283</xdr:colOff>
      <xdr:row>27</xdr:row>
      <xdr:rowOff>136358</xdr:rowOff>
    </xdr:to>
    <mc:AlternateContent xmlns:mc="http://schemas.openxmlformats.org/markup-compatibility/2006" xmlns:a14="http://schemas.microsoft.com/office/drawing/2010/main">
      <mc:Choice Requires="a14">
        <xdr:graphicFrame macro="">
          <xdr:nvGraphicFramePr>
            <xdr:cNvPr id="7" name="Emp_ID">
              <a:extLst>
                <a:ext uri="{FF2B5EF4-FFF2-40B4-BE49-F238E27FC236}">
                  <a16:creationId xmlns:a16="http://schemas.microsoft.com/office/drawing/2014/main" id="{52A342CA-4877-424B-A39B-73BEA71E2B7D}"/>
                </a:ext>
              </a:extLst>
            </xdr:cNvPr>
            <xdr:cNvGraphicFramePr/>
          </xdr:nvGraphicFramePr>
          <xdr:xfrm>
            <a:off x="0" y="0"/>
            <a:ext cx="0" cy="0"/>
          </xdr:xfrm>
          <a:graphic>
            <a:graphicData uri="http://schemas.microsoft.com/office/drawing/2010/slicer">
              <sle:slicer xmlns:sle="http://schemas.microsoft.com/office/drawing/2010/slicer" name="Emp_ID"/>
            </a:graphicData>
          </a:graphic>
        </xdr:graphicFrame>
      </mc:Choice>
      <mc:Fallback xmlns="">
        <xdr:sp macro="" textlink="">
          <xdr:nvSpPr>
            <xdr:cNvPr id="0" name=""/>
            <xdr:cNvSpPr>
              <a:spLocks noTextEdit="1"/>
            </xdr:cNvSpPr>
          </xdr:nvSpPr>
          <xdr:spPr>
            <a:xfrm>
              <a:off x="8438146" y="3031959"/>
              <a:ext cx="3023937" cy="2085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MITA MONDAL" refreshedDate="46011.403920717596" backgroundQuery="1" createdVersion="8" refreshedVersion="8" minRefreshableVersion="3" recordCount="0" supportSubquery="1" supportAdvancedDrill="1" xr:uid="{CFC4B001-5FA7-492D-8C0A-E67E10F4FFA2}">
  <cacheSource type="external" connectionId="1"/>
  <cacheFields count="1">
    <cacheField name="[Table4].[Emp_ID].[Emp_ID]" caption="Emp_ID" numFmtId="0" hierarchy="16" level="1">
      <sharedItems containsSemiMixedTypes="0" containsNonDate="0" containsString="0"/>
    </cacheField>
  </cacheFields>
  <cacheHierarchies count="47">
    <cacheHierarchy uniqueName="[Range].[Emp_ID]" caption="Emp_ID" attribute="1" defaultMemberUniqueName="[Range].[Emp_ID].[All]" allUniqueName="[Range].[Emp_ID].[All]" dimensionUniqueName="[Range]" displayFolder="" count="2" memberValueDatatype="20" unbalanced="0"/>
    <cacheHierarchy uniqueName="[Range].[Name]" caption="Name" attribute="1" defaultMemberUniqueName="[Range].[Name].[All]" allUniqueName="[Range].[Name].[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Joining_Date]" caption="Joining_Date" attribute="1" defaultMemberUniqueName="[Range].[Joining_Date].[All]" allUniqueName="[Range].[Joining_Date].[All]" dimensionUniqueName="[Range]" displayFolder="" count="2" memberValueDatatype="130" unbalanced="0"/>
    <cacheHierarchy uniqueName="[Range].[Salary]" caption="Salary" attribute="1" defaultMemberUniqueName="[Range].[Salary].[All]" allUniqueName="[Range].[Salary].[All]" dimensionUniqueName="[Range]" displayFolder="" count="2" memberValueDatatype="20" unbalanced="0"/>
    <cacheHierarchy uniqueName="[Range].[Manager]" caption="Manager" attribute="1" defaultMemberUniqueName="[Range].[Manager].[All]" allUniqueName="[Range].[Manager].[All]" dimensionUniqueName="[Range]" displayFolder="" count="2" memberValueDatatype="130" unbalanced="0"/>
    <cacheHierarchy uniqueName="[Range 1].[Emp_ID]" caption="Emp_ID" attribute="1" defaultMemberUniqueName="[Range 1].[Emp_ID].[All]" allUniqueName="[Range 1].[Emp_ID].[All]" dimensionUniqueName="[Range 1]" displayFolder="" count="2" memberValueDatatype="20" unbalanced="0"/>
    <cacheHierarchy uniqueName="[Range 1].[Month]" caption="Month" attribute="1" defaultMemberUniqueName="[Range 1].[Month].[All]" allUniqueName="[Range 1].[Month].[All]" dimensionUniqueName="[Range 1]" displayFolder="" count="2" memberValueDatatype="130" unbalanced="0"/>
    <cacheHierarchy uniqueName="[Range 1].[Target]" caption="Target" attribute="1" defaultMemberUniqueName="[Range 1].[Target].[All]" allUniqueName="[Range 1].[Target].[All]" dimensionUniqueName="[Range 1]" displayFolder="" count="2" memberValueDatatype="20" unbalanced="0"/>
    <cacheHierarchy uniqueName="[Range 1].[Achieved]" caption="Achieved" attribute="1" defaultMemberUniqueName="[Range 1].[Achieved].[All]" allUniqueName="[Range 1].[Achieved].[All]" dimensionUniqueName="[Range 1]" displayFolder="" count="2" memberValueDatatype="20" unbalanced="0"/>
    <cacheHierarchy uniqueName="[Range 1].[Performance_Score]" caption="Performance_Score" attribute="1" defaultMemberUniqueName="[Range 1].[Performance_Score].[All]" allUniqueName="[Range 1].[Performance_Score].[All]" dimensionUniqueName="[Range 1]" displayFolder="" count="2" memberValueDatatype="5" unbalanced="0"/>
    <cacheHierarchy uniqueName="[Range 2].[Emp_ID]" caption="Emp_ID" attribute="1" defaultMemberUniqueName="[Range 2].[Emp_ID].[All]" allUniqueName="[Range 2].[Emp_ID].[All]" dimensionUniqueName="[Range 2]" displayFolder="" count="2" memberValueDatatype="20" unbalanced="0"/>
    <cacheHierarchy uniqueName="[Range 2].[Month]" caption="Month" attribute="1" defaultMemberUniqueName="[Range 2].[Month].[All]" allUniqueName="[Range 2].[Month].[All]" dimensionUniqueName="[Range 2]" displayFolder="" count="2" memberValueDatatype="130" unbalanced="0"/>
    <cacheHierarchy uniqueName="[Range 2].[Present_Days]" caption="Present_Days" attribute="1" defaultMemberUniqueName="[Range 2].[Present_Days].[All]" allUniqueName="[Range 2].[Present_Days].[All]" dimensionUniqueName="[Range 2]" displayFolder="" count="2" memberValueDatatype="20" unbalanced="0"/>
    <cacheHierarchy uniqueName="[Range 2].[Absent_Days]" caption="Absent_Days" attribute="1" defaultMemberUniqueName="[Range 2].[Absent_Days].[All]" allUniqueName="[Range 2].[Absent_Days].[All]" dimensionUniqueName="[Range 2]" displayFolder="" count="2" memberValueDatatype="20" unbalanced="0"/>
    <cacheHierarchy uniqueName="[Range 2].[Attendance_%]" caption="Attendance_%" attribute="1" defaultMemberUniqueName="[Range 2].[Attendance_%].[All]" allUniqueName="[Range 2].[Attendance_%].[All]" dimensionUniqueName="[Range 2]" displayFolder="" count="2" memberValueDatatype="5" unbalanced="0"/>
    <cacheHierarchy uniqueName="[Table4].[Emp_ID]" caption="Emp_ID" attribute="1" defaultMemberUniqueName="[Table4].[Emp_ID].[All]" allUniqueName="[Table4].[Emp_ID].[All]" dimensionUniqueName="[Table4]" displayFolder="" count="2" memberValueDatatype="20" unbalanced="0">
      <fieldsUsage count="2">
        <fieldUsage x="-1"/>
        <fieldUsage x="0"/>
      </fieldsUsage>
    </cacheHierarchy>
    <cacheHierarchy uniqueName="[Table4].[Name]" caption="Name" attribute="1" defaultMemberUniqueName="[Table4].[Name].[All]" allUniqueName="[Table4].[Name].[All]" dimensionUniqueName="[Table4]" displayFolder="" count="2" memberValueDatatype="130" unbalanced="0"/>
    <cacheHierarchy uniqueName="[Table4].[Department]" caption="Department" attribute="1" defaultMemberUniqueName="[Table4].[Department].[All]" allUniqueName="[Table4].[Department].[All]" dimensionUniqueName="[Table4]" displayFolder="" count="2" memberValueDatatype="130" unbalanced="0"/>
    <cacheHierarchy uniqueName="[Table4].[Joining_Date]" caption="Joining_Date" attribute="1" defaultMemberUniqueName="[Table4].[Joining_Date].[All]" allUniqueName="[Table4].[Joining_Date].[All]" dimensionUniqueName="[Table4]" displayFolder="" count="2" memberValueDatatype="130" unbalanced="0"/>
    <cacheHierarchy uniqueName="[Table4].[Salary]" caption="Salary" attribute="1" defaultMemberUniqueName="[Table4].[Salary].[All]" allUniqueName="[Table4].[Salary].[All]" dimensionUniqueName="[Table4]" displayFolder="" count="2" memberValueDatatype="20" unbalanced="0"/>
    <cacheHierarchy uniqueName="[Table4].[Manager]" caption="Manager" attribute="1" defaultMemberUniqueName="[Table4].[Manager].[All]" allUniqueName="[Table4].[Manager].[All]" dimensionUniqueName="[Table4]" displayFolder="" count="2" memberValueDatatype="130" unbalanced="0"/>
    <cacheHierarchy uniqueName="[Table5].[Emp_ID]" caption="Emp_ID" attribute="1" defaultMemberUniqueName="[Table5].[Emp_ID].[All]" allUniqueName="[Table5].[Emp_ID].[All]" dimensionUniqueName="[Table5]" displayFolder="" count="2" memberValueDatatype="20" unbalanced="0"/>
    <cacheHierarchy uniqueName="[Table5].[Month]" caption="Month" attribute="1" defaultMemberUniqueName="[Table5].[Month].[All]" allUniqueName="[Table5].[Month].[All]" dimensionUniqueName="[Table5]" displayFolder="" count="2" memberValueDatatype="130" unbalanced="0"/>
    <cacheHierarchy uniqueName="[Table5].[Present_Days]" caption="Present_Days" attribute="1" defaultMemberUniqueName="[Table5].[Present_Days].[All]" allUniqueName="[Table5].[Present_Days].[All]" dimensionUniqueName="[Table5]" displayFolder="" count="2" memberValueDatatype="20" unbalanced="0"/>
    <cacheHierarchy uniqueName="[Table5].[Absent_Days]" caption="Absent_Days" attribute="1" defaultMemberUniqueName="[Table5].[Absent_Days].[All]" allUniqueName="[Table5].[Absent_Days].[All]" dimensionUniqueName="[Table5]" displayFolder="" count="2" memberValueDatatype="20" unbalanced="0"/>
    <cacheHierarchy uniqueName="[Table5].[Attendance_%]" caption="Attendance_%" attribute="1" defaultMemberUniqueName="[Table5].[Attendance_%].[All]" allUniqueName="[Table5].[Attendance_%].[All]" dimensionUniqueName="[Table5]" displayFolder="" count="2" memberValueDatatype="5" unbalanced="0"/>
    <cacheHierarchy uniqueName="[Table6].[Emp_ID]" caption="Emp_ID" attribute="1" defaultMemberUniqueName="[Table6].[Emp_ID].[All]" allUniqueName="[Table6].[Emp_ID].[All]" dimensionUniqueName="[Table6]" displayFolder="" count="2" memberValueDatatype="20" unbalanced="0"/>
    <cacheHierarchy uniqueName="[Table6].[Month]" caption="Month" attribute="1" defaultMemberUniqueName="[Table6].[Month].[All]" allUniqueName="[Table6].[Month].[All]" dimensionUniqueName="[Table6]" displayFolder="" count="2" memberValueDatatype="130" unbalanced="0"/>
    <cacheHierarchy uniqueName="[Table6].[Target]" caption="Target" attribute="1" defaultMemberUniqueName="[Table6].[Target].[All]" allUniqueName="[Table6].[Target].[All]" dimensionUniqueName="[Table6]" displayFolder="" count="2" memberValueDatatype="20" unbalanced="0"/>
    <cacheHierarchy uniqueName="[Table6].[Achieved]" caption="Achieved" attribute="1" defaultMemberUniqueName="[Table6].[Achieved].[All]" allUniqueName="[Table6].[Achieved].[All]" dimensionUniqueName="[Table6]" displayFolder="" count="2" memberValueDatatype="20" unbalanced="0"/>
    <cacheHierarchy uniqueName="[Table6].[Performance_Score]" caption="Performance_Score" attribute="1" defaultMemberUniqueName="[Table6].[Performance_Score].[All]" allUniqueName="[Table6].[Performance_Score].[All]" dimensionUniqueName="[Table6]" displayFolder="" count="2"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Sum of Emp_ID]" caption="Sum of Emp_ID" measure="1" displayFolder="" measureGroup="Range" count="0" hidden="1">
      <extLst>
        <ext xmlns:x15="http://schemas.microsoft.com/office/spreadsheetml/2010/11/main" uri="{B97F6D7D-B522-45F9-BDA1-12C45D357490}">
          <x15:cacheHierarchy aggregatedColumn="0"/>
        </ext>
      </extLst>
    </cacheHierarchy>
    <cacheHierarchy uniqueName="[Measures].[Count of Emp_ID]" caption="Count of Emp_ID" measure="1" displayFolder="" measureGroup="Range" count="0" hidden="1">
      <extLst>
        <ext xmlns:x15="http://schemas.microsoft.com/office/spreadsheetml/2010/11/main" uri="{B97F6D7D-B522-45F9-BDA1-12C45D357490}">
          <x15:cacheHierarchy aggregatedColumn="0"/>
        </ext>
      </extLst>
    </cacheHierarchy>
    <cacheHierarchy uniqueName="[Measures].[Sum of Performance_Score]" caption="Sum of Performance_Score" measure="1" displayFolder="" measureGroup="Range 1" count="0" hidden="1">
      <extLst>
        <ext xmlns:x15="http://schemas.microsoft.com/office/spreadsheetml/2010/11/main" uri="{B97F6D7D-B522-45F9-BDA1-12C45D357490}">
          <x15:cacheHierarchy aggregatedColumn="10"/>
        </ext>
      </extLst>
    </cacheHierarchy>
    <cacheHierarchy uniqueName="[Measures].[Average of Performance_Score]" caption="Average of Performance_Score" measure="1" displayFolder="" measureGroup="Range 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Range 2" count="0" hidden="1">
      <extLst>
        <ext xmlns:x15="http://schemas.microsoft.com/office/spreadsheetml/2010/11/main" uri="{B97F6D7D-B522-45F9-BDA1-12C45D357490}">
          <x15:cacheHierarchy aggregatedColumn="15"/>
        </ext>
      </extLst>
    </cacheHierarchy>
    <cacheHierarchy uniqueName="[Measures].[Average of Attendance_%]" caption="Average of Attendance_%" measure="1" displayFolder="" measureGroup="Range 2" count="0" hidden="1">
      <extLst>
        <ext xmlns:x15="http://schemas.microsoft.com/office/spreadsheetml/2010/11/main" uri="{B97F6D7D-B522-45F9-BDA1-12C45D357490}">
          <x15:cacheHierarchy aggregatedColumn="15"/>
        </ext>
      </extLst>
    </cacheHierarchy>
    <cacheHierarchy uniqueName="[Measures].[Max of Performance_Score]" caption="Max of Performance_Score" measure="1" displayFolder="" measureGroup="Range 1" count="0" hidden="1">
      <extLst>
        <ext xmlns:x15="http://schemas.microsoft.com/office/spreadsheetml/2010/11/main" uri="{B97F6D7D-B522-45F9-BDA1-12C45D357490}">
          <x15:cacheHierarchy aggregatedColumn="10"/>
        </ext>
      </extLst>
    </cacheHierarchy>
  </cacheHierarchies>
  <kpis count="0"/>
  <dimensions count="7">
    <dimension measure="1" name="Measures" uniqueName="[Measures]" caption="Measures"/>
    <dimension name="Range" uniqueName="[Range]" caption="Range"/>
    <dimension name="Range 1" uniqueName="[Range 1]" caption="Range 1"/>
    <dimension name="Range 2" uniqueName="[Range 2]" caption="Range 2"/>
    <dimension name="Table4" uniqueName="[Table4]" caption="Table4"/>
    <dimension name="Table5" uniqueName="[Table5]" caption="Table5"/>
    <dimension name="Table6" uniqueName="[Table6]" caption="Table6"/>
  </dimensions>
  <measureGroups count="6">
    <measureGroup name="Range" caption="Range"/>
    <measureGroup name="Range 1" caption="Range 1"/>
    <measureGroup name="Range 2" caption="Range 2"/>
    <measureGroup name="Table4" caption="Table4"/>
    <measureGroup name="Table5" caption="Table5"/>
    <measureGroup name="Table6" caption="Table6"/>
  </measureGroups>
  <maps count="6">
    <map measureGroup="0" dimension="1"/>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MITA MONDAL" refreshedDate="46011.40395763889" backgroundQuery="1" createdVersion="8" refreshedVersion="8" minRefreshableVersion="3" recordCount="0" supportSubquery="1" supportAdvancedDrill="1" xr:uid="{7CFC464F-39EA-4201-BA9C-3E687B974BFE}">
  <cacheSource type="external" connectionId="1"/>
  <cacheFields count="3">
    <cacheField name="[Range].[Department].[Department]" caption="Department" numFmtId="0" hierarchy="2" level="1">
      <sharedItems count="5">
        <s v="Finance"/>
        <s v="HR"/>
        <s v="IT"/>
        <s v="Marketing"/>
        <s v="Sales"/>
      </sharedItems>
    </cacheField>
    <cacheField name="[Measures].[Count of Emp_ID]" caption="Count of Emp_ID" numFmtId="0" hierarchy="41" level="32767"/>
    <cacheField name="[Table4].[Emp_ID].[Emp_ID]" caption="Emp_ID" numFmtId="0" hierarchy="16" level="1">
      <sharedItems containsSemiMixedTypes="0" containsNonDate="0" containsString="0"/>
    </cacheField>
  </cacheFields>
  <cacheHierarchies count="47">
    <cacheHierarchy uniqueName="[Range].[Emp_ID]" caption="Emp_ID" attribute="1" defaultMemberUniqueName="[Range].[Emp_ID].[All]" allUniqueName="[Range].[Emp_ID].[All]" dimensionUniqueName="[Range]" displayFolder="" count="0" memberValueDatatype="2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Joining_Date]" caption="Joining_Date" attribute="1" defaultMemberUniqueName="[Range].[Joining_Date].[All]" allUniqueName="[Range].[Joining_Date].[All]" dimensionUniqueName="[Range]" displayFolder="" count="0" memberValueDatatype="130" unbalanced="0"/>
    <cacheHierarchy uniqueName="[Range].[Salary]" caption="Salary" attribute="1" defaultMemberUniqueName="[Range].[Salary].[All]" allUniqueName="[Range].[Salary].[All]" dimensionUniqueName="[Range]" displayFolder="" count="0" memberValueDatatype="20" unbalanced="0"/>
    <cacheHierarchy uniqueName="[Range].[Manager]" caption="Manager" attribute="1" defaultMemberUniqueName="[Range].[Manager].[All]" allUniqueName="[Range].[Manager].[All]" dimensionUniqueName="[Range]" displayFolder="" count="0" memberValueDatatype="130" unbalanced="0"/>
    <cacheHierarchy uniqueName="[Range 1].[Emp_ID]" caption="Emp_ID" attribute="1" defaultMemberUniqueName="[Range 1].[Emp_ID].[All]" allUniqueName="[Range 1].[Emp_ID].[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Target]" caption="Target" attribute="1" defaultMemberUniqueName="[Range 1].[Target].[All]" allUniqueName="[Range 1].[Target].[All]" dimensionUniqueName="[Range 1]" displayFolder="" count="0" memberValueDatatype="20" unbalanced="0"/>
    <cacheHierarchy uniqueName="[Range 1].[Achieved]" caption="Achieved" attribute="1" defaultMemberUniqueName="[Range 1].[Achieved].[All]" allUniqueName="[Range 1].[Achieved].[All]" dimensionUniqueName="[Range 1]" displayFolder="" count="0" memberValueDatatype="20" unbalanced="0"/>
    <cacheHierarchy uniqueName="[Range 1].[Performance_Score]" caption="Performance_Score" attribute="1" defaultMemberUniqueName="[Range 1].[Performance_Score].[All]" allUniqueName="[Range 1].[Performance_Score].[All]" dimensionUniqueName="[Range 1]" displayFolder="" count="0" memberValueDatatype="5" unbalanced="0"/>
    <cacheHierarchy uniqueName="[Range 2].[Emp_ID]" caption="Emp_ID" attribute="1" defaultMemberUniqueName="[Range 2].[Emp_ID].[All]" allUniqueName="[Range 2].[Emp_ID].[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Present_Days]" caption="Present_Days" attribute="1" defaultMemberUniqueName="[Range 2].[Present_Days].[All]" allUniqueName="[Range 2].[Present_Days].[All]" dimensionUniqueName="[Range 2]" displayFolder="" count="0" memberValueDatatype="20" unbalanced="0"/>
    <cacheHierarchy uniqueName="[Range 2].[Absent_Days]" caption="Absent_Days" attribute="1" defaultMemberUniqueName="[Range 2].[Absent_Days].[All]" allUniqueName="[Range 2].[Absent_Days].[All]" dimensionUniqueName="[Range 2]" displayFolder="" count="0" memberValueDatatype="20" unbalanced="0"/>
    <cacheHierarchy uniqueName="[Range 2].[Attendance_%]" caption="Attendance_%" attribute="1" defaultMemberUniqueName="[Range 2].[Attendance_%].[All]" allUniqueName="[Range 2].[Attendance_%].[All]" dimensionUniqueName="[Range 2]" displayFolder="" count="0" memberValueDatatype="5" unbalanced="0"/>
    <cacheHierarchy uniqueName="[Table4].[Emp_ID]" caption="Emp_ID" attribute="1" defaultMemberUniqueName="[Table4].[Emp_ID].[All]" allUniqueName="[Table4].[Emp_ID].[All]" dimensionUniqueName="[Table4]" displayFolder="" count="2" memberValueDatatype="20" unbalanced="0">
      <fieldsUsage count="2">
        <fieldUsage x="-1"/>
        <fieldUsage x="2"/>
      </fieldsUsage>
    </cacheHierarchy>
    <cacheHierarchy uniqueName="[Table4].[Name]" caption="Name" attribute="1" defaultMemberUniqueName="[Table4].[Name].[All]" allUniqueName="[Table4].[Name].[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Joining_Date]" caption="Joining_Date" attribute="1" defaultMemberUniqueName="[Table4].[Joining_Date].[All]" allUniqueName="[Table4].[Joining_Date].[All]" dimensionUniqueName="[Table4]" displayFolder="" count="0" memberValueDatatype="130" unbalanced="0"/>
    <cacheHierarchy uniqueName="[Table4].[Salary]" caption="Salary" attribute="1" defaultMemberUniqueName="[Table4].[Salary].[All]" allUniqueName="[Table4].[Salary].[All]" dimensionUniqueName="[Table4]" displayFolder="" count="0" memberValueDatatype="20" unbalanced="0"/>
    <cacheHierarchy uniqueName="[Table4].[Manager]" caption="Manager" attribute="1" defaultMemberUniqueName="[Table4].[Manager].[All]" allUniqueName="[Table4].[Manager].[All]" dimensionUniqueName="[Table4]" displayFolder="" count="0" memberValueDatatype="130" unbalanced="0"/>
    <cacheHierarchy uniqueName="[Table5].[Emp_ID]" caption="Emp_ID" attribute="1" defaultMemberUniqueName="[Table5].[Emp_ID].[All]" allUniqueName="[Table5].[Emp_ID].[All]" dimensionUniqueName="[Table5]" displayFolder="" count="0" memberValueDatatype="20" unbalanced="0"/>
    <cacheHierarchy uniqueName="[Table5].[Month]" caption="Month" attribute="1" defaultMemberUniqueName="[Table5].[Month].[All]" allUniqueName="[Table5].[Month].[All]" dimensionUniqueName="[Table5]" displayFolder="" count="0" memberValueDatatype="130" unbalanced="0"/>
    <cacheHierarchy uniqueName="[Table5].[Present_Days]" caption="Present_Days" attribute="1" defaultMemberUniqueName="[Table5].[Present_Days].[All]" allUniqueName="[Table5].[Present_Days].[All]" dimensionUniqueName="[Table5]" displayFolder="" count="0" memberValueDatatype="20" unbalanced="0"/>
    <cacheHierarchy uniqueName="[Table5].[Absent_Days]" caption="Absent_Days" attribute="1" defaultMemberUniqueName="[Table5].[Absent_Days].[All]" allUniqueName="[Table5].[Absent_Days].[All]" dimensionUniqueName="[Table5]" displayFolder="" count="0" memberValueDatatype="20" unbalanced="0"/>
    <cacheHierarchy uniqueName="[Table5].[Attendance_%]" caption="Attendance_%" attribute="1" defaultMemberUniqueName="[Table5].[Attendance_%].[All]" allUniqueName="[Table5].[Attendance_%].[All]" dimensionUniqueName="[Table5]" displayFolder="" count="0" memberValueDatatype="5" unbalanced="0"/>
    <cacheHierarchy uniqueName="[Table6].[Emp_ID]" caption="Emp_ID" attribute="1" defaultMemberUniqueName="[Table6].[Emp_ID].[All]" allUniqueName="[Table6].[Emp_ID].[All]" dimensionUniqueName="[Table6]" displayFolder="" count="0" memberValueDatatype="20" unbalanced="0"/>
    <cacheHierarchy uniqueName="[Table6].[Month]" caption="Month" attribute="1" defaultMemberUniqueName="[Table6].[Month].[All]" allUniqueName="[Table6].[Month].[All]" dimensionUniqueName="[Table6]" displayFolder="" count="0" memberValueDatatype="130" unbalanced="0"/>
    <cacheHierarchy uniqueName="[Table6].[Target]" caption="Target" attribute="1" defaultMemberUniqueName="[Table6].[Target].[All]" allUniqueName="[Table6].[Target].[All]" dimensionUniqueName="[Table6]" displayFolder="" count="0" memberValueDatatype="20" unbalanced="0"/>
    <cacheHierarchy uniqueName="[Table6].[Achieved]" caption="Achieved" attribute="1" defaultMemberUniqueName="[Table6].[Achieved].[All]" allUniqueName="[Table6].[Achieved].[All]" dimensionUniqueName="[Table6]" displayFolder="" count="0" memberValueDatatype="20" unbalanced="0"/>
    <cacheHierarchy uniqueName="[Table6].[Performance_Score]" caption="Performance_Score" attribute="1" defaultMemberUniqueName="[Table6].[Performance_Score].[All]" allUniqueName="[Table6].[Performance_Score].[All]" dimensionUniqueName="[Table6]"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Sum of Emp_ID]" caption="Sum of Emp_ID" measure="1" displayFolder="" measureGroup="Range" count="0" hidden="1">
      <extLst>
        <ext xmlns:x15="http://schemas.microsoft.com/office/spreadsheetml/2010/11/main" uri="{B97F6D7D-B522-45F9-BDA1-12C45D357490}">
          <x15:cacheHierarchy aggregatedColumn="0"/>
        </ext>
      </extLst>
    </cacheHierarchy>
    <cacheHierarchy uniqueName="[Measures].[Count of Emp_ID]" caption="Count of Emp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erformance_Score]" caption="Sum of Performance_Score" measure="1" displayFolder="" measureGroup="Range 1" count="0" hidden="1">
      <extLst>
        <ext xmlns:x15="http://schemas.microsoft.com/office/spreadsheetml/2010/11/main" uri="{B97F6D7D-B522-45F9-BDA1-12C45D357490}">
          <x15:cacheHierarchy aggregatedColumn="10"/>
        </ext>
      </extLst>
    </cacheHierarchy>
    <cacheHierarchy uniqueName="[Measures].[Average of Performance_Score]" caption="Average of Performance_Score" measure="1" displayFolder="" measureGroup="Range 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Range 2" count="0" hidden="1">
      <extLst>
        <ext xmlns:x15="http://schemas.microsoft.com/office/spreadsheetml/2010/11/main" uri="{B97F6D7D-B522-45F9-BDA1-12C45D357490}">
          <x15:cacheHierarchy aggregatedColumn="15"/>
        </ext>
      </extLst>
    </cacheHierarchy>
    <cacheHierarchy uniqueName="[Measures].[Average of Attendance_%]" caption="Average of Attendance_%" measure="1" displayFolder="" measureGroup="Range 2" count="0" hidden="1">
      <extLst>
        <ext xmlns:x15="http://schemas.microsoft.com/office/spreadsheetml/2010/11/main" uri="{B97F6D7D-B522-45F9-BDA1-12C45D357490}">
          <x15:cacheHierarchy aggregatedColumn="15"/>
        </ext>
      </extLst>
    </cacheHierarchy>
    <cacheHierarchy uniqueName="[Measures].[Max of Performance_Score]" caption="Max of Performance_Score" measure="1" displayFolder="" measureGroup="Range 1" count="0" hidden="1">
      <extLst>
        <ext xmlns:x15="http://schemas.microsoft.com/office/spreadsheetml/2010/11/main" uri="{B97F6D7D-B522-45F9-BDA1-12C45D357490}">
          <x15:cacheHierarchy aggregatedColumn="10"/>
        </ext>
      </extLst>
    </cacheHierarchy>
  </cacheHierarchies>
  <kpis count="0"/>
  <dimensions count="7">
    <dimension measure="1" name="Measures" uniqueName="[Measures]" caption="Measures"/>
    <dimension name="Range" uniqueName="[Range]" caption="Range"/>
    <dimension name="Range 1" uniqueName="[Range 1]" caption="Range 1"/>
    <dimension name="Range 2" uniqueName="[Range 2]" caption="Range 2"/>
    <dimension name="Table4" uniqueName="[Table4]" caption="Table4"/>
    <dimension name="Table5" uniqueName="[Table5]" caption="Table5"/>
    <dimension name="Table6" uniqueName="[Table6]" caption="Table6"/>
  </dimensions>
  <measureGroups count="6">
    <measureGroup name="Range" caption="Range"/>
    <measureGroup name="Range 1" caption="Range 1"/>
    <measureGroup name="Range 2" caption="Range 2"/>
    <measureGroup name="Table4" caption="Table4"/>
    <measureGroup name="Table5" caption="Table5"/>
    <measureGroup name="Table6" caption="Table6"/>
  </measureGroups>
  <maps count="8">
    <map measureGroup="0" dimension="1"/>
    <map measureGroup="0" dimension="2"/>
    <map measureGroup="0" dimension="3"/>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MITA MONDAL" refreshedDate="46011.403958796298" backgroundQuery="1" createdVersion="8" refreshedVersion="8" minRefreshableVersion="3" recordCount="0" supportSubquery="1" supportAdvancedDrill="1" xr:uid="{9B343273-50DC-4A94-BF3A-FAA219E33D0E}">
  <cacheSource type="external" connectionId="1"/>
  <cacheFields count="3">
    <cacheField name="[Range 1].[Emp_ID].[Emp_ID]" caption="Emp_ID" numFmtId="0" hierarchy="6" level="1">
      <sharedItems containsSemiMixedTypes="0" containsString="0" containsNumber="1" containsInteger="1" minValue="101" maxValue="108" count="8">
        <n v="101"/>
        <n v="102"/>
        <n v="103"/>
        <n v="104"/>
        <n v="105"/>
        <n v="106"/>
        <n v="107"/>
        <n v="108"/>
      </sharedItems>
      <extLst>
        <ext xmlns:x15="http://schemas.microsoft.com/office/spreadsheetml/2010/11/main" uri="{4F2E5C28-24EA-4eb8-9CBF-B6C8F9C3D259}">
          <x15:cachedUniqueNames>
            <x15:cachedUniqueName index="0" name="[Range 1].[Emp_ID].&amp;[101]"/>
            <x15:cachedUniqueName index="1" name="[Range 1].[Emp_ID].&amp;[102]"/>
            <x15:cachedUniqueName index="2" name="[Range 1].[Emp_ID].&amp;[103]"/>
            <x15:cachedUniqueName index="3" name="[Range 1].[Emp_ID].&amp;[104]"/>
            <x15:cachedUniqueName index="4" name="[Range 1].[Emp_ID].&amp;[105]"/>
            <x15:cachedUniqueName index="5" name="[Range 1].[Emp_ID].&amp;[106]"/>
            <x15:cachedUniqueName index="6" name="[Range 1].[Emp_ID].&amp;[107]"/>
            <x15:cachedUniqueName index="7" name="[Range 1].[Emp_ID].&amp;[108]"/>
          </x15:cachedUniqueNames>
        </ext>
      </extLst>
    </cacheField>
    <cacheField name="[Measures].[Average of Performance_Score]" caption="Average of Performance_Score" numFmtId="0" hierarchy="43" level="32767"/>
    <cacheField name="[Table4].[Emp_ID].[Emp_ID]" caption="Emp_ID" numFmtId="0" hierarchy="16" level="1">
      <sharedItems containsSemiMixedTypes="0" containsNonDate="0" containsString="0"/>
    </cacheField>
  </cacheFields>
  <cacheHierarchies count="47">
    <cacheHierarchy uniqueName="[Range].[Emp_ID]" caption="Emp_ID" attribute="1" defaultMemberUniqueName="[Range].[Emp_ID].[All]" allUniqueName="[Range].[Emp_ID].[All]" dimensionUniqueName="[Range]" displayFolder="" count="0" memberValueDatatype="2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Joining_Date]" caption="Joining_Date" attribute="1" defaultMemberUniqueName="[Range].[Joining_Date].[All]" allUniqueName="[Range].[Joining_Date].[All]" dimensionUniqueName="[Range]" displayFolder="" count="0" memberValueDatatype="130" unbalanced="0"/>
    <cacheHierarchy uniqueName="[Range].[Salary]" caption="Salary" attribute="1" defaultMemberUniqueName="[Range].[Salary].[All]" allUniqueName="[Range].[Salary].[All]" dimensionUniqueName="[Range]" displayFolder="" count="0" memberValueDatatype="20" unbalanced="0"/>
    <cacheHierarchy uniqueName="[Range].[Manager]" caption="Manager" attribute="1" defaultMemberUniqueName="[Range].[Manager].[All]" allUniqueName="[Range].[Manager].[All]" dimensionUniqueName="[Range]" displayFolder="" count="0" memberValueDatatype="130" unbalanced="0"/>
    <cacheHierarchy uniqueName="[Range 1].[Emp_ID]" caption="Emp_ID" attribute="1" defaultMemberUniqueName="[Range 1].[Emp_ID].[All]" allUniqueName="[Range 1].[Emp_ID].[All]" dimensionUniqueName="[Range 1]" displayFolder="" count="2" memberValueDatatype="20" unbalanced="0">
      <fieldsUsage count="2">
        <fieldUsage x="-1"/>
        <fieldUsage x="0"/>
      </fieldsUsage>
    </cacheHierarchy>
    <cacheHierarchy uniqueName="[Range 1].[Month]" caption="Month" attribute="1" defaultMemberUniqueName="[Range 1].[Month].[All]" allUniqueName="[Range 1].[Month].[All]" dimensionUniqueName="[Range 1]" displayFolder="" count="0" memberValueDatatype="130" unbalanced="0"/>
    <cacheHierarchy uniqueName="[Range 1].[Target]" caption="Target" attribute="1" defaultMemberUniqueName="[Range 1].[Target].[All]" allUniqueName="[Range 1].[Target].[All]" dimensionUniqueName="[Range 1]" displayFolder="" count="0" memberValueDatatype="20" unbalanced="0"/>
    <cacheHierarchy uniqueName="[Range 1].[Achieved]" caption="Achieved" attribute="1" defaultMemberUniqueName="[Range 1].[Achieved].[All]" allUniqueName="[Range 1].[Achieved].[All]" dimensionUniqueName="[Range 1]" displayFolder="" count="0" memberValueDatatype="20" unbalanced="0"/>
    <cacheHierarchy uniqueName="[Range 1].[Performance_Score]" caption="Performance_Score" attribute="1" defaultMemberUniqueName="[Range 1].[Performance_Score].[All]" allUniqueName="[Range 1].[Performance_Score].[All]" dimensionUniqueName="[Range 1]" displayFolder="" count="0" memberValueDatatype="5" unbalanced="0"/>
    <cacheHierarchy uniqueName="[Range 2].[Emp_ID]" caption="Emp_ID" attribute="1" defaultMemberUniqueName="[Range 2].[Emp_ID].[All]" allUniqueName="[Range 2].[Emp_ID].[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Present_Days]" caption="Present_Days" attribute="1" defaultMemberUniqueName="[Range 2].[Present_Days].[All]" allUniqueName="[Range 2].[Present_Days].[All]" dimensionUniqueName="[Range 2]" displayFolder="" count="0" memberValueDatatype="20" unbalanced="0"/>
    <cacheHierarchy uniqueName="[Range 2].[Absent_Days]" caption="Absent_Days" attribute="1" defaultMemberUniqueName="[Range 2].[Absent_Days].[All]" allUniqueName="[Range 2].[Absent_Days].[All]" dimensionUniqueName="[Range 2]" displayFolder="" count="0" memberValueDatatype="20" unbalanced="0"/>
    <cacheHierarchy uniqueName="[Range 2].[Attendance_%]" caption="Attendance_%" attribute="1" defaultMemberUniqueName="[Range 2].[Attendance_%].[All]" allUniqueName="[Range 2].[Attendance_%].[All]" dimensionUniqueName="[Range 2]" displayFolder="" count="0" memberValueDatatype="5" unbalanced="0"/>
    <cacheHierarchy uniqueName="[Table4].[Emp_ID]" caption="Emp_ID" attribute="1" defaultMemberUniqueName="[Table4].[Emp_ID].[All]" allUniqueName="[Table4].[Emp_ID].[All]" dimensionUniqueName="[Table4]" displayFolder="" count="2" memberValueDatatype="20" unbalanced="0">
      <fieldsUsage count="2">
        <fieldUsage x="-1"/>
        <fieldUsage x="2"/>
      </fieldsUsage>
    </cacheHierarchy>
    <cacheHierarchy uniqueName="[Table4].[Name]" caption="Name" attribute="1" defaultMemberUniqueName="[Table4].[Name].[All]" allUniqueName="[Table4].[Name].[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Joining_Date]" caption="Joining_Date" attribute="1" defaultMemberUniqueName="[Table4].[Joining_Date].[All]" allUniqueName="[Table4].[Joining_Date].[All]" dimensionUniqueName="[Table4]" displayFolder="" count="0" memberValueDatatype="130" unbalanced="0"/>
    <cacheHierarchy uniqueName="[Table4].[Salary]" caption="Salary" attribute="1" defaultMemberUniqueName="[Table4].[Salary].[All]" allUniqueName="[Table4].[Salary].[All]" dimensionUniqueName="[Table4]" displayFolder="" count="0" memberValueDatatype="20" unbalanced="0"/>
    <cacheHierarchy uniqueName="[Table4].[Manager]" caption="Manager" attribute="1" defaultMemberUniqueName="[Table4].[Manager].[All]" allUniqueName="[Table4].[Manager].[All]" dimensionUniqueName="[Table4]" displayFolder="" count="0" memberValueDatatype="130" unbalanced="0"/>
    <cacheHierarchy uniqueName="[Table5].[Emp_ID]" caption="Emp_ID" attribute="1" defaultMemberUniqueName="[Table5].[Emp_ID].[All]" allUniqueName="[Table5].[Emp_ID].[All]" dimensionUniqueName="[Table5]" displayFolder="" count="0" memberValueDatatype="20" unbalanced="0"/>
    <cacheHierarchy uniqueName="[Table5].[Month]" caption="Month" attribute="1" defaultMemberUniqueName="[Table5].[Month].[All]" allUniqueName="[Table5].[Month].[All]" dimensionUniqueName="[Table5]" displayFolder="" count="0" memberValueDatatype="130" unbalanced="0"/>
    <cacheHierarchy uniqueName="[Table5].[Present_Days]" caption="Present_Days" attribute="1" defaultMemberUniqueName="[Table5].[Present_Days].[All]" allUniqueName="[Table5].[Present_Days].[All]" dimensionUniqueName="[Table5]" displayFolder="" count="0" memberValueDatatype="20" unbalanced="0"/>
    <cacheHierarchy uniqueName="[Table5].[Absent_Days]" caption="Absent_Days" attribute="1" defaultMemberUniqueName="[Table5].[Absent_Days].[All]" allUniqueName="[Table5].[Absent_Days].[All]" dimensionUniqueName="[Table5]" displayFolder="" count="0" memberValueDatatype="20" unbalanced="0"/>
    <cacheHierarchy uniqueName="[Table5].[Attendance_%]" caption="Attendance_%" attribute="1" defaultMemberUniqueName="[Table5].[Attendance_%].[All]" allUniqueName="[Table5].[Attendance_%].[All]" dimensionUniqueName="[Table5]" displayFolder="" count="0" memberValueDatatype="5" unbalanced="0"/>
    <cacheHierarchy uniqueName="[Table6].[Emp_ID]" caption="Emp_ID" attribute="1" defaultMemberUniqueName="[Table6].[Emp_ID].[All]" allUniqueName="[Table6].[Emp_ID].[All]" dimensionUniqueName="[Table6]" displayFolder="" count="0" memberValueDatatype="20" unbalanced="0"/>
    <cacheHierarchy uniqueName="[Table6].[Month]" caption="Month" attribute="1" defaultMemberUniqueName="[Table6].[Month].[All]" allUniqueName="[Table6].[Month].[All]" dimensionUniqueName="[Table6]" displayFolder="" count="0" memberValueDatatype="130" unbalanced="0"/>
    <cacheHierarchy uniqueName="[Table6].[Target]" caption="Target" attribute="1" defaultMemberUniqueName="[Table6].[Target].[All]" allUniqueName="[Table6].[Target].[All]" dimensionUniqueName="[Table6]" displayFolder="" count="0" memberValueDatatype="20" unbalanced="0"/>
    <cacheHierarchy uniqueName="[Table6].[Achieved]" caption="Achieved" attribute="1" defaultMemberUniqueName="[Table6].[Achieved].[All]" allUniqueName="[Table6].[Achieved].[All]" dimensionUniqueName="[Table6]" displayFolder="" count="0" memberValueDatatype="20" unbalanced="0"/>
    <cacheHierarchy uniqueName="[Table6].[Performance_Score]" caption="Performance_Score" attribute="1" defaultMemberUniqueName="[Table6].[Performance_Score].[All]" allUniqueName="[Table6].[Performance_Score].[All]" dimensionUniqueName="[Table6]"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Sum of Emp_ID]" caption="Sum of Emp_ID" measure="1" displayFolder="" measureGroup="Range" count="0" hidden="1">
      <extLst>
        <ext xmlns:x15="http://schemas.microsoft.com/office/spreadsheetml/2010/11/main" uri="{B97F6D7D-B522-45F9-BDA1-12C45D357490}">
          <x15:cacheHierarchy aggregatedColumn="0"/>
        </ext>
      </extLst>
    </cacheHierarchy>
    <cacheHierarchy uniqueName="[Measures].[Count of Emp_ID]" caption="Count of Emp_ID" measure="1" displayFolder="" measureGroup="Range" count="0" hidden="1">
      <extLst>
        <ext xmlns:x15="http://schemas.microsoft.com/office/spreadsheetml/2010/11/main" uri="{B97F6D7D-B522-45F9-BDA1-12C45D357490}">
          <x15:cacheHierarchy aggregatedColumn="0"/>
        </ext>
      </extLst>
    </cacheHierarchy>
    <cacheHierarchy uniqueName="[Measures].[Sum of Performance_Score]" caption="Sum of Performance_Score" measure="1" displayFolder="" measureGroup="Range 1" count="0" hidden="1">
      <extLst>
        <ext xmlns:x15="http://schemas.microsoft.com/office/spreadsheetml/2010/11/main" uri="{B97F6D7D-B522-45F9-BDA1-12C45D357490}">
          <x15:cacheHierarchy aggregatedColumn="10"/>
        </ext>
      </extLst>
    </cacheHierarchy>
    <cacheHierarchy uniqueName="[Measures].[Average of Performance_Score]" caption="Average of Performance_Score" measure="1" displayFolder="" measureGroup="Range 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Range 2" count="0" hidden="1">
      <extLst>
        <ext xmlns:x15="http://schemas.microsoft.com/office/spreadsheetml/2010/11/main" uri="{B97F6D7D-B522-45F9-BDA1-12C45D357490}">
          <x15:cacheHierarchy aggregatedColumn="15"/>
        </ext>
      </extLst>
    </cacheHierarchy>
    <cacheHierarchy uniqueName="[Measures].[Average of Attendance_%]" caption="Average of Attendance_%" measure="1" displayFolder="" measureGroup="Range 2" count="0" hidden="1">
      <extLst>
        <ext xmlns:x15="http://schemas.microsoft.com/office/spreadsheetml/2010/11/main" uri="{B97F6D7D-B522-45F9-BDA1-12C45D357490}">
          <x15:cacheHierarchy aggregatedColumn="15"/>
        </ext>
      </extLst>
    </cacheHierarchy>
    <cacheHierarchy uniqueName="[Measures].[Max of Performance_Score]" caption="Max of Performance_Score" measure="1" displayFolder="" measureGroup="Range 1" count="0" hidden="1">
      <extLst>
        <ext xmlns:x15="http://schemas.microsoft.com/office/spreadsheetml/2010/11/main" uri="{B97F6D7D-B522-45F9-BDA1-12C45D357490}">
          <x15:cacheHierarchy aggregatedColumn="10"/>
        </ext>
      </extLst>
    </cacheHierarchy>
  </cacheHierarchies>
  <kpis count="0"/>
  <dimensions count="7">
    <dimension measure="1" name="Measures" uniqueName="[Measures]" caption="Measures"/>
    <dimension name="Range" uniqueName="[Range]" caption="Range"/>
    <dimension name="Range 1" uniqueName="[Range 1]" caption="Range 1"/>
    <dimension name="Range 2" uniqueName="[Range 2]" caption="Range 2"/>
    <dimension name="Table4" uniqueName="[Table4]" caption="Table4"/>
    <dimension name="Table5" uniqueName="[Table5]" caption="Table5"/>
    <dimension name="Table6" uniqueName="[Table6]" caption="Table6"/>
  </dimensions>
  <measureGroups count="6">
    <measureGroup name="Range" caption="Range"/>
    <measureGroup name="Range 1" caption="Range 1"/>
    <measureGroup name="Range 2" caption="Range 2"/>
    <measureGroup name="Table4" caption="Table4"/>
    <measureGroup name="Table5" caption="Table5"/>
    <measureGroup name="Table6" caption="Table6"/>
  </measureGroups>
  <maps count="7">
    <map measureGroup="0" dimension="1"/>
    <map measureGroup="0" dimension="2"/>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MITA MONDAL" refreshedDate="46011.40395983796" backgroundQuery="1" createdVersion="8" refreshedVersion="8" minRefreshableVersion="3" recordCount="0" supportSubquery="1" supportAdvancedDrill="1" xr:uid="{014DC49F-977D-4E6E-B3D7-B3CA604C49B9}">
  <cacheSource type="external" connectionId="1"/>
  <cacheFields count="3">
    <cacheField name="[Range 2].[Emp_ID].[Emp_ID]" caption="Emp_ID" numFmtId="0" hierarchy="11" level="1">
      <sharedItems containsSemiMixedTypes="0" containsString="0" containsNumber="1" containsInteger="1" minValue="101" maxValue="108" count="8">
        <n v="101"/>
        <n v="102"/>
        <n v="103"/>
        <n v="104"/>
        <n v="105"/>
        <n v="106"/>
        <n v="107"/>
        <n v="108"/>
      </sharedItems>
      <extLst>
        <ext xmlns:x15="http://schemas.microsoft.com/office/spreadsheetml/2010/11/main" uri="{4F2E5C28-24EA-4eb8-9CBF-B6C8F9C3D259}">
          <x15:cachedUniqueNames>
            <x15:cachedUniqueName index="0" name="[Range 2].[Emp_ID].&amp;[101]"/>
            <x15:cachedUniqueName index="1" name="[Range 2].[Emp_ID].&amp;[102]"/>
            <x15:cachedUniqueName index="2" name="[Range 2].[Emp_ID].&amp;[103]"/>
            <x15:cachedUniqueName index="3" name="[Range 2].[Emp_ID].&amp;[104]"/>
            <x15:cachedUniqueName index="4" name="[Range 2].[Emp_ID].&amp;[105]"/>
            <x15:cachedUniqueName index="5" name="[Range 2].[Emp_ID].&amp;[106]"/>
            <x15:cachedUniqueName index="6" name="[Range 2].[Emp_ID].&amp;[107]"/>
            <x15:cachedUniqueName index="7" name="[Range 2].[Emp_ID].&amp;[108]"/>
          </x15:cachedUniqueNames>
        </ext>
      </extLst>
    </cacheField>
    <cacheField name="[Measures].[Average of Attendance_%]" caption="Average of Attendance_%" numFmtId="0" hierarchy="45" level="32767"/>
    <cacheField name="[Table4].[Emp_ID].[Emp_ID]" caption="Emp_ID" numFmtId="0" hierarchy="16" level="1">
      <sharedItems containsSemiMixedTypes="0" containsNonDate="0" containsString="0"/>
    </cacheField>
  </cacheFields>
  <cacheHierarchies count="47">
    <cacheHierarchy uniqueName="[Range].[Emp_ID]" caption="Emp_ID" attribute="1" defaultMemberUniqueName="[Range].[Emp_ID].[All]" allUniqueName="[Range].[Emp_ID].[All]" dimensionUniqueName="[Range]" displayFolder="" count="0" memberValueDatatype="2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Joining_Date]" caption="Joining_Date" attribute="1" defaultMemberUniqueName="[Range].[Joining_Date].[All]" allUniqueName="[Range].[Joining_Date].[All]" dimensionUniqueName="[Range]" displayFolder="" count="0" memberValueDatatype="130" unbalanced="0"/>
    <cacheHierarchy uniqueName="[Range].[Salary]" caption="Salary" attribute="1" defaultMemberUniqueName="[Range].[Salary].[All]" allUniqueName="[Range].[Salary].[All]" dimensionUniqueName="[Range]" displayFolder="" count="0" memberValueDatatype="20" unbalanced="0"/>
    <cacheHierarchy uniqueName="[Range].[Manager]" caption="Manager" attribute="1" defaultMemberUniqueName="[Range].[Manager].[All]" allUniqueName="[Range].[Manager].[All]" dimensionUniqueName="[Range]" displayFolder="" count="0" memberValueDatatype="130" unbalanced="0"/>
    <cacheHierarchy uniqueName="[Range 1].[Emp_ID]" caption="Emp_ID" attribute="1" defaultMemberUniqueName="[Range 1].[Emp_ID].[All]" allUniqueName="[Range 1].[Emp_ID].[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Target]" caption="Target" attribute="1" defaultMemberUniqueName="[Range 1].[Target].[All]" allUniqueName="[Range 1].[Target].[All]" dimensionUniqueName="[Range 1]" displayFolder="" count="0" memberValueDatatype="20" unbalanced="0"/>
    <cacheHierarchy uniqueName="[Range 1].[Achieved]" caption="Achieved" attribute="1" defaultMemberUniqueName="[Range 1].[Achieved].[All]" allUniqueName="[Range 1].[Achieved].[All]" dimensionUniqueName="[Range 1]" displayFolder="" count="0" memberValueDatatype="20" unbalanced="0"/>
    <cacheHierarchy uniqueName="[Range 1].[Performance_Score]" caption="Performance_Score" attribute="1" defaultMemberUniqueName="[Range 1].[Performance_Score].[All]" allUniqueName="[Range 1].[Performance_Score].[All]" dimensionUniqueName="[Range 1]" displayFolder="" count="0" memberValueDatatype="5" unbalanced="0"/>
    <cacheHierarchy uniqueName="[Range 2].[Emp_ID]" caption="Emp_ID" attribute="1" defaultMemberUniqueName="[Range 2].[Emp_ID].[All]" allUniqueName="[Range 2].[Emp_ID].[All]" dimensionUniqueName="[Range 2]" displayFolder="" count="2" memberValueDatatype="20" unbalanced="0">
      <fieldsUsage count="2">
        <fieldUsage x="-1"/>
        <fieldUsage x="0"/>
      </fieldsUsage>
    </cacheHierarchy>
    <cacheHierarchy uniqueName="[Range 2].[Month]" caption="Month" attribute="1" defaultMemberUniqueName="[Range 2].[Month].[All]" allUniqueName="[Range 2].[Month].[All]" dimensionUniqueName="[Range 2]" displayFolder="" count="0" memberValueDatatype="130" unbalanced="0"/>
    <cacheHierarchy uniqueName="[Range 2].[Present_Days]" caption="Present_Days" attribute="1" defaultMemberUniqueName="[Range 2].[Present_Days].[All]" allUniqueName="[Range 2].[Present_Days].[All]" dimensionUniqueName="[Range 2]" displayFolder="" count="0" memberValueDatatype="20" unbalanced="0"/>
    <cacheHierarchy uniqueName="[Range 2].[Absent_Days]" caption="Absent_Days" attribute="1" defaultMemberUniqueName="[Range 2].[Absent_Days].[All]" allUniqueName="[Range 2].[Absent_Days].[All]" dimensionUniqueName="[Range 2]" displayFolder="" count="0" memberValueDatatype="20" unbalanced="0"/>
    <cacheHierarchy uniqueName="[Range 2].[Attendance_%]" caption="Attendance_%" attribute="1" defaultMemberUniqueName="[Range 2].[Attendance_%].[All]" allUniqueName="[Range 2].[Attendance_%].[All]" dimensionUniqueName="[Range 2]" displayFolder="" count="0" memberValueDatatype="5" unbalanced="0"/>
    <cacheHierarchy uniqueName="[Table4].[Emp_ID]" caption="Emp_ID" attribute="1" defaultMemberUniqueName="[Table4].[Emp_ID].[All]" allUniqueName="[Table4].[Emp_ID].[All]" dimensionUniqueName="[Table4]" displayFolder="" count="2" memberValueDatatype="20" unbalanced="0">
      <fieldsUsage count="2">
        <fieldUsage x="-1"/>
        <fieldUsage x="2"/>
      </fieldsUsage>
    </cacheHierarchy>
    <cacheHierarchy uniqueName="[Table4].[Name]" caption="Name" attribute="1" defaultMemberUniqueName="[Table4].[Name].[All]" allUniqueName="[Table4].[Name].[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Joining_Date]" caption="Joining_Date" attribute="1" defaultMemberUniqueName="[Table4].[Joining_Date].[All]" allUniqueName="[Table4].[Joining_Date].[All]" dimensionUniqueName="[Table4]" displayFolder="" count="0" memberValueDatatype="130" unbalanced="0"/>
    <cacheHierarchy uniqueName="[Table4].[Salary]" caption="Salary" attribute="1" defaultMemberUniqueName="[Table4].[Salary].[All]" allUniqueName="[Table4].[Salary].[All]" dimensionUniqueName="[Table4]" displayFolder="" count="0" memberValueDatatype="20" unbalanced="0"/>
    <cacheHierarchy uniqueName="[Table4].[Manager]" caption="Manager" attribute="1" defaultMemberUniqueName="[Table4].[Manager].[All]" allUniqueName="[Table4].[Manager].[All]" dimensionUniqueName="[Table4]" displayFolder="" count="0" memberValueDatatype="130" unbalanced="0"/>
    <cacheHierarchy uniqueName="[Table5].[Emp_ID]" caption="Emp_ID" attribute="1" defaultMemberUniqueName="[Table5].[Emp_ID].[All]" allUniqueName="[Table5].[Emp_ID].[All]" dimensionUniqueName="[Table5]" displayFolder="" count="0" memberValueDatatype="20" unbalanced="0"/>
    <cacheHierarchy uniqueName="[Table5].[Month]" caption="Month" attribute="1" defaultMemberUniqueName="[Table5].[Month].[All]" allUniqueName="[Table5].[Month].[All]" dimensionUniqueName="[Table5]" displayFolder="" count="0" memberValueDatatype="130" unbalanced="0"/>
    <cacheHierarchy uniqueName="[Table5].[Present_Days]" caption="Present_Days" attribute="1" defaultMemberUniqueName="[Table5].[Present_Days].[All]" allUniqueName="[Table5].[Present_Days].[All]" dimensionUniqueName="[Table5]" displayFolder="" count="0" memberValueDatatype="20" unbalanced="0"/>
    <cacheHierarchy uniqueName="[Table5].[Absent_Days]" caption="Absent_Days" attribute="1" defaultMemberUniqueName="[Table5].[Absent_Days].[All]" allUniqueName="[Table5].[Absent_Days].[All]" dimensionUniqueName="[Table5]" displayFolder="" count="0" memberValueDatatype="20" unbalanced="0"/>
    <cacheHierarchy uniqueName="[Table5].[Attendance_%]" caption="Attendance_%" attribute="1" defaultMemberUniqueName="[Table5].[Attendance_%].[All]" allUniqueName="[Table5].[Attendance_%].[All]" dimensionUniqueName="[Table5]" displayFolder="" count="0" memberValueDatatype="5" unbalanced="0"/>
    <cacheHierarchy uniqueName="[Table6].[Emp_ID]" caption="Emp_ID" attribute="1" defaultMemberUniqueName="[Table6].[Emp_ID].[All]" allUniqueName="[Table6].[Emp_ID].[All]" dimensionUniqueName="[Table6]" displayFolder="" count="0" memberValueDatatype="20" unbalanced="0"/>
    <cacheHierarchy uniqueName="[Table6].[Month]" caption="Month" attribute="1" defaultMemberUniqueName="[Table6].[Month].[All]" allUniqueName="[Table6].[Month].[All]" dimensionUniqueName="[Table6]" displayFolder="" count="0" memberValueDatatype="130" unbalanced="0"/>
    <cacheHierarchy uniqueName="[Table6].[Target]" caption="Target" attribute="1" defaultMemberUniqueName="[Table6].[Target].[All]" allUniqueName="[Table6].[Target].[All]" dimensionUniqueName="[Table6]" displayFolder="" count="0" memberValueDatatype="20" unbalanced="0"/>
    <cacheHierarchy uniqueName="[Table6].[Achieved]" caption="Achieved" attribute="1" defaultMemberUniqueName="[Table6].[Achieved].[All]" allUniqueName="[Table6].[Achieved].[All]" dimensionUniqueName="[Table6]" displayFolder="" count="0" memberValueDatatype="20" unbalanced="0"/>
    <cacheHierarchy uniqueName="[Table6].[Performance_Score]" caption="Performance_Score" attribute="1" defaultMemberUniqueName="[Table6].[Performance_Score].[All]" allUniqueName="[Table6].[Performance_Score].[All]" dimensionUniqueName="[Table6]"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Sum of Emp_ID]" caption="Sum of Emp_ID" measure="1" displayFolder="" measureGroup="Range" count="0" hidden="1">
      <extLst>
        <ext xmlns:x15="http://schemas.microsoft.com/office/spreadsheetml/2010/11/main" uri="{B97F6D7D-B522-45F9-BDA1-12C45D357490}">
          <x15:cacheHierarchy aggregatedColumn="0"/>
        </ext>
      </extLst>
    </cacheHierarchy>
    <cacheHierarchy uniqueName="[Measures].[Count of Emp_ID]" caption="Count of Emp_ID" measure="1" displayFolder="" measureGroup="Range" count="0" hidden="1">
      <extLst>
        <ext xmlns:x15="http://schemas.microsoft.com/office/spreadsheetml/2010/11/main" uri="{B97F6D7D-B522-45F9-BDA1-12C45D357490}">
          <x15:cacheHierarchy aggregatedColumn="0"/>
        </ext>
      </extLst>
    </cacheHierarchy>
    <cacheHierarchy uniqueName="[Measures].[Sum of Performance_Score]" caption="Sum of Performance_Score" measure="1" displayFolder="" measureGroup="Range 1" count="0" hidden="1">
      <extLst>
        <ext xmlns:x15="http://schemas.microsoft.com/office/spreadsheetml/2010/11/main" uri="{B97F6D7D-B522-45F9-BDA1-12C45D357490}">
          <x15:cacheHierarchy aggregatedColumn="10"/>
        </ext>
      </extLst>
    </cacheHierarchy>
    <cacheHierarchy uniqueName="[Measures].[Average of Performance_Score]" caption="Average of Performance_Score" measure="1" displayFolder="" measureGroup="Range 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Range 2" count="0" hidden="1">
      <extLst>
        <ext xmlns:x15="http://schemas.microsoft.com/office/spreadsheetml/2010/11/main" uri="{B97F6D7D-B522-45F9-BDA1-12C45D357490}">
          <x15:cacheHierarchy aggregatedColumn="15"/>
        </ext>
      </extLst>
    </cacheHierarchy>
    <cacheHierarchy uniqueName="[Measures].[Average of Attendance_%]" caption="Average of Attendance_%" measure="1" displayFolder="" measureGroup="Range 2" count="0" oneField="1" hidden="1">
      <fieldsUsage count="1">
        <fieldUsage x="1"/>
      </fieldsUsage>
      <extLst>
        <ext xmlns:x15="http://schemas.microsoft.com/office/spreadsheetml/2010/11/main" uri="{B97F6D7D-B522-45F9-BDA1-12C45D357490}">
          <x15:cacheHierarchy aggregatedColumn="15"/>
        </ext>
      </extLst>
    </cacheHierarchy>
    <cacheHierarchy uniqueName="[Measures].[Max of Performance_Score]" caption="Max of Performance_Score" measure="1" displayFolder="" measureGroup="Range 1" count="0" hidden="1">
      <extLst>
        <ext xmlns:x15="http://schemas.microsoft.com/office/spreadsheetml/2010/11/main" uri="{B97F6D7D-B522-45F9-BDA1-12C45D357490}">
          <x15:cacheHierarchy aggregatedColumn="10"/>
        </ext>
      </extLst>
    </cacheHierarchy>
  </cacheHierarchies>
  <kpis count="0"/>
  <dimensions count="7">
    <dimension measure="1" name="Measures" uniqueName="[Measures]" caption="Measures"/>
    <dimension name="Range" uniqueName="[Range]" caption="Range"/>
    <dimension name="Range 1" uniqueName="[Range 1]" caption="Range 1"/>
    <dimension name="Range 2" uniqueName="[Range 2]" caption="Range 2"/>
    <dimension name="Table4" uniqueName="[Table4]" caption="Table4"/>
    <dimension name="Table5" uniqueName="[Table5]" caption="Table5"/>
    <dimension name="Table6" uniqueName="[Table6]" caption="Table6"/>
  </dimensions>
  <measureGroups count="6">
    <measureGroup name="Range" caption="Range"/>
    <measureGroup name="Range 1" caption="Range 1"/>
    <measureGroup name="Range 2" caption="Range 2"/>
    <measureGroup name="Table4" caption="Table4"/>
    <measureGroup name="Table5" caption="Table5"/>
    <measureGroup name="Table6" caption="Table6"/>
  </measureGroups>
  <maps count="8">
    <map measureGroup="0" dimension="1"/>
    <map measureGroup="0" dimension="2"/>
    <map measureGroup="0" dimension="3"/>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MITA MONDAL" refreshedDate="46011.40396087963" backgroundQuery="1" createdVersion="8" refreshedVersion="8" minRefreshableVersion="3" recordCount="0" supportSubquery="1" supportAdvancedDrill="1" xr:uid="{62E92D1D-E3CE-4A75-A176-75BF2A05A73B}">
  <cacheSource type="external" connectionId="1"/>
  <cacheFields count="3">
    <cacheField name="[Range].[Manager].[Manager]" caption="Manager" numFmtId="0" hierarchy="5" level="1">
      <sharedItems count="5">
        <s v="Anita"/>
        <s v="Arjun"/>
        <s v="Meera"/>
        <s v="Rahul"/>
        <s v="Sourav"/>
      </sharedItems>
    </cacheField>
    <cacheField name="[Measures].[Count of Emp_ID]" caption="Count of Emp_ID" numFmtId="0" hierarchy="41" level="32767"/>
    <cacheField name="[Table4].[Emp_ID].[Emp_ID]" caption="Emp_ID" numFmtId="0" hierarchy="16" level="1">
      <sharedItems containsSemiMixedTypes="0" containsNonDate="0" containsString="0"/>
    </cacheField>
  </cacheFields>
  <cacheHierarchies count="47">
    <cacheHierarchy uniqueName="[Range].[Emp_ID]" caption="Emp_ID" attribute="1" defaultMemberUniqueName="[Range].[Emp_ID].[All]" allUniqueName="[Range].[Emp_ID].[All]" dimensionUniqueName="[Range]" displayFolder="" count="0" memberValueDatatype="2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Joining_Date]" caption="Joining_Date" attribute="1" defaultMemberUniqueName="[Range].[Joining_Date].[All]" allUniqueName="[Range].[Joining_Date].[All]" dimensionUniqueName="[Range]" displayFolder="" count="0" memberValueDatatype="130" unbalanced="0"/>
    <cacheHierarchy uniqueName="[Range].[Salary]" caption="Salary" attribute="1" defaultMemberUniqueName="[Range].[Salary].[All]" allUniqueName="[Range].[Salary].[All]" dimensionUniqueName="[Range]" displayFolder="" count="0" memberValueDatatype="20" unbalanced="0"/>
    <cacheHierarchy uniqueName="[Range].[Manager]" caption="Manager" attribute="1" defaultMemberUniqueName="[Range].[Manager].[All]" allUniqueName="[Range].[Manager].[All]" dimensionUniqueName="[Range]" displayFolder="" count="2" memberValueDatatype="130" unbalanced="0">
      <fieldsUsage count="2">
        <fieldUsage x="-1"/>
        <fieldUsage x="0"/>
      </fieldsUsage>
    </cacheHierarchy>
    <cacheHierarchy uniqueName="[Range 1].[Emp_ID]" caption="Emp_ID" attribute="1" defaultMemberUniqueName="[Range 1].[Emp_ID].[All]" allUniqueName="[Range 1].[Emp_ID].[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Target]" caption="Target" attribute="1" defaultMemberUniqueName="[Range 1].[Target].[All]" allUniqueName="[Range 1].[Target].[All]" dimensionUniqueName="[Range 1]" displayFolder="" count="0" memberValueDatatype="20" unbalanced="0"/>
    <cacheHierarchy uniqueName="[Range 1].[Achieved]" caption="Achieved" attribute="1" defaultMemberUniqueName="[Range 1].[Achieved].[All]" allUniqueName="[Range 1].[Achieved].[All]" dimensionUniqueName="[Range 1]" displayFolder="" count="0" memberValueDatatype="20" unbalanced="0"/>
    <cacheHierarchy uniqueName="[Range 1].[Performance_Score]" caption="Performance_Score" attribute="1" defaultMemberUniqueName="[Range 1].[Performance_Score].[All]" allUniqueName="[Range 1].[Performance_Score].[All]" dimensionUniqueName="[Range 1]" displayFolder="" count="0" memberValueDatatype="5" unbalanced="0"/>
    <cacheHierarchy uniqueName="[Range 2].[Emp_ID]" caption="Emp_ID" attribute="1" defaultMemberUniqueName="[Range 2].[Emp_ID].[All]" allUniqueName="[Range 2].[Emp_ID].[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Present_Days]" caption="Present_Days" attribute="1" defaultMemberUniqueName="[Range 2].[Present_Days].[All]" allUniqueName="[Range 2].[Present_Days].[All]" dimensionUniqueName="[Range 2]" displayFolder="" count="0" memberValueDatatype="20" unbalanced="0"/>
    <cacheHierarchy uniqueName="[Range 2].[Absent_Days]" caption="Absent_Days" attribute="1" defaultMemberUniqueName="[Range 2].[Absent_Days].[All]" allUniqueName="[Range 2].[Absent_Days].[All]" dimensionUniqueName="[Range 2]" displayFolder="" count="0" memberValueDatatype="20" unbalanced="0"/>
    <cacheHierarchy uniqueName="[Range 2].[Attendance_%]" caption="Attendance_%" attribute="1" defaultMemberUniqueName="[Range 2].[Attendance_%].[All]" allUniqueName="[Range 2].[Attendance_%].[All]" dimensionUniqueName="[Range 2]" displayFolder="" count="0" memberValueDatatype="5" unbalanced="0"/>
    <cacheHierarchy uniqueName="[Table4].[Emp_ID]" caption="Emp_ID" attribute="1" defaultMemberUniqueName="[Table4].[Emp_ID].[All]" allUniqueName="[Table4].[Emp_ID].[All]" dimensionUniqueName="[Table4]" displayFolder="" count="2" memberValueDatatype="20" unbalanced="0">
      <fieldsUsage count="2">
        <fieldUsage x="-1"/>
        <fieldUsage x="2"/>
      </fieldsUsage>
    </cacheHierarchy>
    <cacheHierarchy uniqueName="[Table4].[Name]" caption="Name" attribute="1" defaultMemberUniqueName="[Table4].[Name].[All]" allUniqueName="[Table4].[Name].[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Joining_Date]" caption="Joining_Date" attribute="1" defaultMemberUniqueName="[Table4].[Joining_Date].[All]" allUniqueName="[Table4].[Joining_Date].[All]" dimensionUniqueName="[Table4]" displayFolder="" count="0" memberValueDatatype="130" unbalanced="0"/>
    <cacheHierarchy uniqueName="[Table4].[Salary]" caption="Salary" attribute="1" defaultMemberUniqueName="[Table4].[Salary].[All]" allUniqueName="[Table4].[Salary].[All]" dimensionUniqueName="[Table4]" displayFolder="" count="0" memberValueDatatype="20" unbalanced="0"/>
    <cacheHierarchy uniqueName="[Table4].[Manager]" caption="Manager" attribute="1" defaultMemberUniqueName="[Table4].[Manager].[All]" allUniqueName="[Table4].[Manager].[All]" dimensionUniqueName="[Table4]" displayFolder="" count="0" memberValueDatatype="130" unbalanced="0"/>
    <cacheHierarchy uniqueName="[Table5].[Emp_ID]" caption="Emp_ID" attribute="1" defaultMemberUniqueName="[Table5].[Emp_ID].[All]" allUniqueName="[Table5].[Emp_ID].[All]" dimensionUniqueName="[Table5]" displayFolder="" count="0" memberValueDatatype="20" unbalanced="0"/>
    <cacheHierarchy uniqueName="[Table5].[Month]" caption="Month" attribute="1" defaultMemberUniqueName="[Table5].[Month].[All]" allUniqueName="[Table5].[Month].[All]" dimensionUniqueName="[Table5]" displayFolder="" count="0" memberValueDatatype="130" unbalanced="0"/>
    <cacheHierarchy uniqueName="[Table5].[Present_Days]" caption="Present_Days" attribute="1" defaultMemberUniqueName="[Table5].[Present_Days].[All]" allUniqueName="[Table5].[Present_Days].[All]" dimensionUniqueName="[Table5]" displayFolder="" count="0" memberValueDatatype="20" unbalanced="0"/>
    <cacheHierarchy uniqueName="[Table5].[Absent_Days]" caption="Absent_Days" attribute="1" defaultMemberUniqueName="[Table5].[Absent_Days].[All]" allUniqueName="[Table5].[Absent_Days].[All]" dimensionUniqueName="[Table5]" displayFolder="" count="0" memberValueDatatype="20" unbalanced="0"/>
    <cacheHierarchy uniqueName="[Table5].[Attendance_%]" caption="Attendance_%" attribute="1" defaultMemberUniqueName="[Table5].[Attendance_%].[All]" allUniqueName="[Table5].[Attendance_%].[All]" dimensionUniqueName="[Table5]" displayFolder="" count="0" memberValueDatatype="5" unbalanced="0"/>
    <cacheHierarchy uniqueName="[Table6].[Emp_ID]" caption="Emp_ID" attribute="1" defaultMemberUniqueName="[Table6].[Emp_ID].[All]" allUniqueName="[Table6].[Emp_ID].[All]" dimensionUniqueName="[Table6]" displayFolder="" count="0" memberValueDatatype="20" unbalanced="0"/>
    <cacheHierarchy uniqueName="[Table6].[Month]" caption="Month" attribute="1" defaultMemberUniqueName="[Table6].[Month].[All]" allUniqueName="[Table6].[Month].[All]" dimensionUniqueName="[Table6]" displayFolder="" count="0" memberValueDatatype="130" unbalanced="0"/>
    <cacheHierarchy uniqueName="[Table6].[Target]" caption="Target" attribute="1" defaultMemberUniqueName="[Table6].[Target].[All]" allUniqueName="[Table6].[Target].[All]" dimensionUniqueName="[Table6]" displayFolder="" count="0" memberValueDatatype="20" unbalanced="0"/>
    <cacheHierarchy uniqueName="[Table6].[Achieved]" caption="Achieved" attribute="1" defaultMemberUniqueName="[Table6].[Achieved].[All]" allUniqueName="[Table6].[Achieved].[All]" dimensionUniqueName="[Table6]" displayFolder="" count="0" memberValueDatatype="20" unbalanced="0"/>
    <cacheHierarchy uniqueName="[Table6].[Performance_Score]" caption="Performance_Score" attribute="1" defaultMemberUniqueName="[Table6].[Performance_Score].[All]" allUniqueName="[Table6].[Performance_Score].[All]" dimensionUniqueName="[Table6]"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Sum of Emp_ID]" caption="Sum of Emp_ID" measure="1" displayFolder="" measureGroup="Range" count="0" hidden="1">
      <extLst>
        <ext xmlns:x15="http://schemas.microsoft.com/office/spreadsheetml/2010/11/main" uri="{B97F6D7D-B522-45F9-BDA1-12C45D357490}">
          <x15:cacheHierarchy aggregatedColumn="0"/>
        </ext>
      </extLst>
    </cacheHierarchy>
    <cacheHierarchy uniqueName="[Measures].[Count of Emp_ID]" caption="Count of Emp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erformance_Score]" caption="Sum of Performance_Score" measure="1" displayFolder="" measureGroup="Range 1" count="0" hidden="1">
      <extLst>
        <ext xmlns:x15="http://schemas.microsoft.com/office/spreadsheetml/2010/11/main" uri="{B97F6D7D-B522-45F9-BDA1-12C45D357490}">
          <x15:cacheHierarchy aggregatedColumn="10"/>
        </ext>
      </extLst>
    </cacheHierarchy>
    <cacheHierarchy uniqueName="[Measures].[Average of Performance_Score]" caption="Average of Performance_Score" measure="1" displayFolder="" measureGroup="Range 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Range 2" count="0" hidden="1">
      <extLst>
        <ext xmlns:x15="http://schemas.microsoft.com/office/spreadsheetml/2010/11/main" uri="{B97F6D7D-B522-45F9-BDA1-12C45D357490}">
          <x15:cacheHierarchy aggregatedColumn="15"/>
        </ext>
      </extLst>
    </cacheHierarchy>
    <cacheHierarchy uniqueName="[Measures].[Average of Attendance_%]" caption="Average of Attendance_%" measure="1" displayFolder="" measureGroup="Range 2" count="0" hidden="1">
      <extLst>
        <ext xmlns:x15="http://schemas.microsoft.com/office/spreadsheetml/2010/11/main" uri="{B97F6D7D-B522-45F9-BDA1-12C45D357490}">
          <x15:cacheHierarchy aggregatedColumn="15"/>
        </ext>
      </extLst>
    </cacheHierarchy>
    <cacheHierarchy uniqueName="[Measures].[Max of Performance_Score]" caption="Max of Performance_Score" measure="1" displayFolder="" measureGroup="Range 1" count="0" hidden="1">
      <extLst>
        <ext xmlns:x15="http://schemas.microsoft.com/office/spreadsheetml/2010/11/main" uri="{B97F6D7D-B522-45F9-BDA1-12C45D357490}">
          <x15:cacheHierarchy aggregatedColumn="10"/>
        </ext>
      </extLst>
    </cacheHierarchy>
  </cacheHierarchies>
  <kpis count="0"/>
  <dimensions count="7">
    <dimension measure="1" name="Measures" uniqueName="[Measures]" caption="Measures"/>
    <dimension name="Range" uniqueName="[Range]" caption="Range"/>
    <dimension name="Range 1" uniqueName="[Range 1]" caption="Range 1"/>
    <dimension name="Range 2" uniqueName="[Range 2]" caption="Range 2"/>
    <dimension name="Table4" uniqueName="[Table4]" caption="Table4"/>
    <dimension name="Table5" uniqueName="[Table5]" caption="Table5"/>
    <dimension name="Table6" uniqueName="[Table6]" caption="Table6"/>
  </dimensions>
  <measureGroups count="6">
    <measureGroup name="Range" caption="Range"/>
    <measureGroup name="Range 1" caption="Range 1"/>
    <measureGroup name="Range 2" caption="Range 2"/>
    <measureGroup name="Table4" caption="Table4"/>
    <measureGroup name="Table5" caption="Table5"/>
    <measureGroup name="Table6" caption="Table6"/>
  </measureGroups>
  <maps count="8">
    <map measureGroup="0" dimension="1"/>
    <map measureGroup="0" dimension="2"/>
    <map measureGroup="0" dimension="3"/>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MITA MONDAL" refreshedDate="46011.4039625" backgroundQuery="1" createdVersion="8" refreshedVersion="8" minRefreshableVersion="3" recordCount="0" supportSubquery="1" supportAdvancedDrill="1" xr:uid="{16D57413-DEFA-4DE5-B585-D5AC620EFB70}">
  <cacheSource type="external" connectionId="1"/>
  <cacheFields count="3">
    <cacheField name="[Range 1].[Emp_ID].[Emp_ID]" caption="Emp_ID" numFmtId="0" hierarchy="6" level="1">
      <sharedItems containsSemiMixedTypes="0" containsString="0" containsNumber="1" containsInteger="1" minValue="103" maxValue="108" count="3">
        <n v="103"/>
        <n v="106"/>
        <n v="108"/>
      </sharedItems>
      <extLst>
        <ext xmlns:x15="http://schemas.microsoft.com/office/spreadsheetml/2010/11/main" uri="{4F2E5C28-24EA-4eb8-9CBF-B6C8F9C3D259}">
          <x15:cachedUniqueNames>
            <x15:cachedUniqueName index="0" name="[Range 1].[Emp_ID].&amp;[103]"/>
            <x15:cachedUniqueName index="1" name="[Range 1].[Emp_ID].&amp;[106]"/>
            <x15:cachedUniqueName index="2" name="[Range 1].[Emp_ID].&amp;[108]"/>
          </x15:cachedUniqueNames>
        </ext>
      </extLst>
    </cacheField>
    <cacheField name="[Measures].[Average of Performance_Score]" caption="Average of Performance_Score" numFmtId="0" hierarchy="43" level="32767"/>
    <cacheField name="[Table4].[Emp_ID].[Emp_ID]" caption="Emp_ID" numFmtId="0" hierarchy="16" level="1">
      <sharedItems containsSemiMixedTypes="0" containsNonDate="0" containsString="0"/>
    </cacheField>
  </cacheFields>
  <cacheHierarchies count="47">
    <cacheHierarchy uniqueName="[Range].[Emp_ID]" caption="Emp_ID" attribute="1" defaultMemberUniqueName="[Range].[Emp_ID].[All]" allUniqueName="[Range].[Emp_ID].[All]" dimensionUniqueName="[Range]" displayFolder="" count="0" memberValueDatatype="2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Joining_Date]" caption="Joining_Date" attribute="1" defaultMemberUniqueName="[Range].[Joining_Date].[All]" allUniqueName="[Range].[Joining_Date].[All]" dimensionUniqueName="[Range]" displayFolder="" count="0" memberValueDatatype="130" unbalanced="0"/>
    <cacheHierarchy uniqueName="[Range].[Salary]" caption="Salary" attribute="1" defaultMemberUniqueName="[Range].[Salary].[All]" allUniqueName="[Range].[Salary].[All]" dimensionUniqueName="[Range]" displayFolder="" count="0" memberValueDatatype="20" unbalanced="0"/>
    <cacheHierarchy uniqueName="[Range].[Manager]" caption="Manager" attribute="1" defaultMemberUniqueName="[Range].[Manager].[All]" allUniqueName="[Range].[Manager].[All]" dimensionUniqueName="[Range]" displayFolder="" count="0" memberValueDatatype="130" unbalanced="0"/>
    <cacheHierarchy uniqueName="[Range 1].[Emp_ID]" caption="Emp_ID" attribute="1" defaultMemberUniqueName="[Range 1].[Emp_ID].[All]" allUniqueName="[Range 1].[Emp_ID].[All]" dimensionUniqueName="[Range 1]" displayFolder="" count="2" memberValueDatatype="20" unbalanced="0">
      <fieldsUsage count="2">
        <fieldUsage x="-1"/>
        <fieldUsage x="0"/>
      </fieldsUsage>
    </cacheHierarchy>
    <cacheHierarchy uniqueName="[Range 1].[Month]" caption="Month" attribute="1" defaultMemberUniqueName="[Range 1].[Month].[All]" allUniqueName="[Range 1].[Month].[All]" dimensionUniqueName="[Range 1]" displayFolder="" count="0" memberValueDatatype="130" unbalanced="0"/>
    <cacheHierarchy uniqueName="[Range 1].[Target]" caption="Target" attribute="1" defaultMemberUniqueName="[Range 1].[Target].[All]" allUniqueName="[Range 1].[Target].[All]" dimensionUniqueName="[Range 1]" displayFolder="" count="0" memberValueDatatype="20" unbalanced="0"/>
    <cacheHierarchy uniqueName="[Range 1].[Achieved]" caption="Achieved" attribute="1" defaultMemberUniqueName="[Range 1].[Achieved].[All]" allUniqueName="[Range 1].[Achieved].[All]" dimensionUniqueName="[Range 1]" displayFolder="" count="0" memberValueDatatype="20" unbalanced="0"/>
    <cacheHierarchy uniqueName="[Range 1].[Performance_Score]" caption="Performance_Score" attribute="1" defaultMemberUniqueName="[Range 1].[Performance_Score].[All]" allUniqueName="[Range 1].[Performance_Score].[All]" dimensionUniqueName="[Range 1]" displayFolder="" count="0" memberValueDatatype="5" unbalanced="0"/>
    <cacheHierarchy uniqueName="[Range 2].[Emp_ID]" caption="Emp_ID" attribute="1" defaultMemberUniqueName="[Range 2].[Emp_ID].[All]" allUniqueName="[Range 2].[Emp_ID].[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Present_Days]" caption="Present_Days" attribute="1" defaultMemberUniqueName="[Range 2].[Present_Days].[All]" allUniqueName="[Range 2].[Present_Days].[All]" dimensionUniqueName="[Range 2]" displayFolder="" count="0" memberValueDatatype="20" unbalanced="0"/>
    <cacheHierarchy uniqueName="[Range 2].[Absent_Days]" caption="Absent_Days" attribute="1" defaultMemberUniqueName="[Range 2].[Absent_Days].[All]" allUniqueName="[Range 2].[Absent_Days].[All]" dimensionUniqueName="[Range 2]" displayFolder="" count="0" memberValueDatatype="20" unbalanced="0"/>
    <cacheHierarchy uniqueName="[Range 2].[Attendance_%]" caption="Attendance_%" attribute="1" defaultMemberUniqueName="[Range 2].[Attendance_%].[All]" allUniqueName="[Range 2].[Attendance_%].[All]" dimensionUniqueName="[Range 2]" displayFolder="" count="0" memberValueDatatype="5" unbalanced="0"/>
    <cacheHierarchy uniqueName="[Table4].[Emp_ID]" caption="Emp_ID" attribute="1" defaultMemberUniqueName="[Table4].[Emp_ID].[All]" allUniqueName="[Table4].[Emp_ID].[All]" dimensionUniqueName="[Table4]" displayFolder="" count="2" memberValueDatatype="20" unbalanced="0">
      <fieldsUsage count="2">
        <fieldUsage x="-1"/>
        <fieldUsage x="2"/>
      </fieldsUsage>
    </cacheHierarchy>
    <cacheHierarchy uniqueName="[Table4].[Name]" caption="Name" attribute="1" defaultMemberUniqueName="[Table4].[Name].[All]" allUniqueName="[Table4].[Name].[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Joining_Date]" caption="Joining_Date" attribute="1" defaultMemberUniqueName="[Table4].[Joining_Date].[All]" allUniqueName="[Table4].[Joining_Date].[All]" dimensionUniqueName="[Table4]" displayFolder="" count="0" memberValueDatatype="130" unbalanced="0"/>
    <cacheHierarchy uniqueName="[Table4].[Salary]" caption="Salary" attribute="1" defaultMemberUniqueName="[Table4].[Salary].[All]" allUniqueName="[Table4].[Salary].[All]" dimensionUniqueName="[Table4]" displayFolder="" count="0" memberValueDatatype="20" unbalanced="0"/>
    <cacheHierarchy uniqueName="[Table4].[Manager]" caption="Manager" attribute="1" defaultMemberUniqueName="[Table4].[Manager].[All]" allUniqueName="[Table4].[Manager].[All]" dimensionUniqueName="[Table4]" displayFolder="" count="0" memberValueDatatype="130" unbalanced="0"/>
    <cacheHierarchy uniqueName="[Table5].[Emp_ID]" caption="Emp_ID" attribute="1" defaultMemberUniqueName="[Table5].[Emp_ID].[All]" allUniqueName="[Table5].[Emp_ID].[All]" dimensionUniqueName="[Table5]" displayFolder="" count="0" memberValueDatatype="20" unbalanced="0"/>
    <cacheHierarchy uniqueName="[Table5].[Month]" caption="Month" attribute="1" defaultMemberUniqueName="[Table5].[Month].[All]" allUniqueName="[Table5].[Month].[All]" dimensionUniqueName="[Table5]" displayFolder="" count="0" memberValueDatatype="130" unbalanced="0"/>
    <cacheHierarchy uniqueName="[Table5].[Present_Days]" caption="Present_Days" attribute="1" defaultMemberUniqueName="[Table5].[Present_Days].[All]" allUniqueName="[Table5].[Present_Days].[All]" dimensionUniqueName="[Table5]" displayFolder="" count="0" memberValueDatatype="20" unbalanced="0"/>
    <cacheHierarchy uniqueName="[Table5].[Absent_Days]" caption="Absent_Days" attribute="1" defaultMemberUniqueName="[Table5].[Absent_Days].[All]" allUniqueName="[Table5].[Absent_Days].[All]" dimensionUniqueName="[Table5]" displayFolder="" count="0" memberValueDatatype="20" unbalanced="0"/>
    <cacheHierarchy uniqueName="[Table5].[Attendance_%]" caption="Attendance_%" attribute="1" defaultMemberUniqueName="[Table5].[Attendance_%].[All]" allUniqueName="[Table5].[Attendance_%].[All]" dimensionUniqueName="[Table5]" displayFolder="" count="0" memberValueDatatype="5" unbalanced="0"/>
    <cacheHierarchy uniqueName="[Table6].[Emp_ID]" caption="Emp_ID" attribute="1" defaultMemberUniqueName="[Table6].[Emp_ID].[All]" allUniqueName="[Table6].[Emp_ID].[All]" dimensionUniqueName="[Table6]" displayFolder="" count="0" memberValueDatatype="20" unbalanced="0"/>
    <cacheHierarchy uniqueName="[Table6].[Month]" caption="Month" attribute="1" defaultMemberUniqueName="[Table6].[Month].[All]" allUniqueName="[Table6].[Month].[All]" dimensionUniqueName="[Table6]" displayFolder="" count="0" memberValueDatatype="130" unbalanced="0"/>
    <cacheHierarchy uniqueName="[Table6].[Target]" caption="Target" attribute="1" defaultMemberUniqueName="[Table6].[Target].[All]" allUniqueName="[Table6].[Target].[All]" dimensionUniqueName="[Table6]" displayFolder="" count="0" memberValueDatatype="20" unbalanced="0"/>
    <cacheHierarchy uniqueName="[Table6].[Achieved]" caption="Achieved" attribute="1" defaultMemberUniqueName="[Table6].[Achieved].[All]" allUniqueName="[Table6].[Achieved].[All]" dimensionUniqueName="[Table6]" displayFolder="" count="0" memberValueDatatype="20" unbalanced="0"/>
    <cacheHierarchy uniqueName="[Table6].[Performance_Score]" caption="Performance_Score" attribute="1" defaultMemberUniqueName="[Table6].[Performance_Score].[All]" allUniqueName="[Table6].[Performance_Score].[All]" dimensionUniqueName="[Table6]"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Sum of Emp_ID]" caption="Sum of Emp_ID" measure="1" displayFolder="" measureGroup="Range" count="0" hidden="1">
      <extLst>
        <ext xmlns:x15="http://schemas.microsoft.com/office/spreadsheetml/2010/11/main" uri="{B97F6D7D-B522-45F9-BDA1-12C45D357490}">
          <x15:cacheHierarchy aggregatedColumn="0"/>
        </ext>
      </extLst>
    </cacheHierarchy>
    <cacheHierarchy uniqueName="[Measures].[Count of Emp_ID]" caption="Count of Emp_ID" measure="1" displayFolder="" measureGroup="Range" count="0" hidden="1">
      <extLst>
        <ext xmlns:x15="http://schemas.microsoft.com/office/spreadsheetml/2010/11/main" uri="{B97F6D7D-B522-45F9-BDA1-12C45D357490}">
          <x15:cacheHierarchy aggregatedColumn="0"/>
        </ext>
      </extLst>
    </cacheHierarchy>
    <cacheHierarchy uniqueName="[Measures].[Sum of Performance_Score]" caption="Sum of Performance_Score" measure="1" displayFolder="" measureGroup="Range 1" count="0" hidden="1">
      <extLst>
        <ext xmlns:x15="http://schemas.microsoft.com/office/spreadsheetml/2010/11/main" uri="{B97F6D7D-B522-45F9-BDA1-12C45D357490}">
          <x15:cacheHierarchy aggregatedColumn="10"/>
        </ext>
      </extLst>
    </cacheHierarchy>
    <cacheHierarchy uniqueName="[Measures].[Average of Performance_Score]" caption="Average of Performance_Score" measure="1" displayFolder="" measureGroup="Range 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Range 2" count="0" hidden="1">
      <extLst>
        <ext xmlns:x15="http://schemas.microsoft.com/office/spreadsheetml/2010/11/main" uri="{B97F6D7D-B522-45F9-BDA1-12C45D357490}">
          <x15:cacheHierarchy aggregatedColumn="15"/>
        </ext>
      </extLst>
    </cacheHierarchy>
    <cacheHierarchy uniqueName="[Measures].[Average of Attendance_%]" caption="Average of Attendance_%" measure="1" displayFolder="" measureGroup="Range 2" count="0" hidden="1">
      <extLst>
        <ext xmlns:x15="http://schemas.microsoft.com/office/spreadsheetml/2010/11/main" uri="{B97F6D7D-B522-45F9-BDA1-12C45D357490}">
          <x15:cacheHierarchy aggregatedColumn="15"/>
        </ext>
      </extLst>
    </cacheHierarchy>
    <cacheHierarchy uniqueName="[Measures].[Max of Performance_Score]" caption="Max of Performance_Score" measure="1" displayFolder="" measureGroup="Range 1" count="0" hidden="1">
      <extLst>
        <ext xmlns:x15="http://schemas.microsoft.com/office/spreadsheetml/2010/11/main" uri="{B97F6D7D-B522-45F9-BDA1-12C45D357490}">
          <x15:cacheHierarchy aggregatedColumn="10"/>
        </ext>
      </extLst>
    </cacheHierarchy>
  </cacheHierarchies>
  <kpis count="0"/>
  <dimensions count="7">
    <dimension measure="1" name="Measures" uniqueName="[Measures]" caption="Measures"/>
    <dimension name="Range" uniqueName="[Range]" caption="Range"/>
    <dimension name="Range 1" uniqueName="[Range 1]" caption="Range 1"/>
    <dimension name="Range 2" uniqueName="[Range 2]" caption="Range 2"/>
    <dimension name="Table4" uniqueName="[Table4]" caption="Table4"/>
    <dimension name="Table5" uniqueName="[Table5]" caption="Table5"/>
    <dimension name="Table6" uniqueName="[Table6]" caption="Table6"/>
  </dimensions>
  <measureGroups count="6">
    <measureGroup name="Range" caption="Range"/>
    <measureGroup name="Range 1" caption="Range 1"/>
    <measureGroup name="Range 2" caption="Range 2"/>
    <measureGroup name="Table4" caption="Table4"/>
    <measureGroup name="Table5" caption="Table5"/>
    <measureGroup name="Table6" caption="Table6"/>
  </measureGroups>
  <maps count="7">
    <map measureGroup="0" dimension="1"/>
    <map measureGroup="0" dimension="2"/>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MITA MONDAL" refreshedDate="46011.403962731485" backgroundQuery="1" createdVersion="8" refreshedVersion="8" minRefreshableVersion="3" recordCount="0" supportSubquery="1" supportAdvancedDrill="1" xr:uid="{2FE9922D-58C6-4D42-8094-A8FBC3AD7D8D}">
  <cacheSource type="external" connectionId="1"/>
  <cacheFields count="1">
    <cacheField name="[Table4].[Emp_ID].[Emp_ID]" caption="Emp_ID" numFmtId="0" hierarchy="16" level="1">
      <sharedItems containsSemiMixedTypes="0" containsNonDate="0" containsString="0"/>
    </cacheField>
  </cacheFields>
  <cacheHierarchies count="47">
    <cacheHierarchy uniqueName="[Range].[Emp_ID]" caption="Emp_ID" attribute="1" defaultMemberUniqueName="[Range].[Emp_ID].[All]" allUniqueName="[Range].[Emp_ID].[All]" dimensionUniqueName="[Range]" displayFolder="" count="0" memberValueDatatype="2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Joining_Date]" caption="Joining_Date" attribute="1" defaultMemberUniqueName="[Range].[Joining_Date].[All]" allUniqueName="[Range].[Joining_Date].[All]" dimensionUniqueName="[Range]" displayFolder="" count="0" memberValueDatatype="130" unbalanced="0"/>
    <cacheHierarchy uniqueName="[Range].[Salary]" caption="Salary" attribute="1" defaultMemberUniqueName="[Range].[Salary].[All]" allUniqueName="[Range].[Salary].[All]" dimensionUniqueName="[Range]" displayFolder="" count="0" memberValueDatatype="20" unbalanced="0"/>
    <cacheHierarchy uniqueName="[Range].[Manager]" caption="Manager" attribute="1" defaultMemberUniqueName="[Range].[Manager].[All]" allUniqueName="[Range].[Manager].[All]" dimensionUniqueName="[Range]" displayFolder="" count="0" memberValueDatatype="130" unbalanced="0"/>
    <cacheHierarchy uniqueName="[Range 1].[Emp_ID]" caption="Emp_ID" attribute="1" defaultMemberUniqueName="[Range 1].[Emp_ID].[All]" allUniqueName="[Range 1].[Emp_ID].[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Target]" caption="Target" attribute="1" defaultMemberUniqueName="[Range 1].[Target].[All]" allUniqueName="[Range 1].[Target].[All]" dimensionUniqueName="[Range 1]" displayFolder="" count="0" memberValueDatatype="20" unbalanced="0"/>
    <cacheHierarchy uniqueName="[Range 1].[Achieved]" caption="Achieved" attribute="1" defaultMemberUniqueName="[Range 1].[Achieved].[All]" allUniqueName="[Range 1].[Achieved].[All]" dimensionUniqueName="[Range 1]" displayFolder="" count="0" memberValueDatatype="20" unbalanced="0"/>
    <cacheHierarchy uniqueName="[Range 1].[Performance_Score]" caption="Performance_Score" attribute="1" defaultMemberUniqueName="[Range 1].[Performance_Score].[All]" allUniqueName="[Range 1].[Performance_Score].[All]" dimensionUniqueName="[Range 1]" displayFolder="" count="0" memberValueDatatype="5" unbalanced="0"/>
    <cacheHierarchy uniqueName="[Range 2].[Emp_ID]" caption="Emp_ID" attribute="1" defaultMemberUniqueName="[Range 2].[Emp_ID].[All]" allUniqueName="[Range 2].[Emp_ID].[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Present_Days]" caption="Present_Days" attribute="1" defaultMemberUniqueName="[Range 2].[Present_Days].[All]" allUniqueName="[Range 2].[Present_Days].[All]" dimensionUniqueName="[Range 2]" displayFolder="" count="0" memberValueDatatype="20" unbalanced="0"/>
    <cacheHierarchy uniqueName="[Range 2].[Absent_Days]" caption="Absent_Days" attribute="1" defaultMemberUniqueName="[Range 2].[Absent_Days].[All]" allUniqueName="[Range 2].[Absent_Days].[All]" dimensionUniqueName="[Range 2]" displayFolder="" count="0" memberValueDatatype="20" unbalanced="0"/>
    <cacheHierarchy uniqueName="[Range 2].[Attendance_%]" caption="Attendance_%" attribute="1" defaultMemberUniqueName="[Range 2].[Attendance_%].[All]" allUniqueName="[Range 2].[Attendance_%].[All]" dimensionUniqueName="[Range 2]" displayFolder="" count="0" memberValueDatatype="5" unbalanced="0"/>
    <cacheHierarchy uniqueName="[Table4].[Emp_ID]" caption="Emp_ID" attribute="1" defaultMemberUniqueName="[Table4].[Emp_ID].[All]" allUniqueName="[Table4].[Emp_ID].[All]" dimensionUniqueName="[Table4]" displayFolder="" count="2" memberValueDatatype="20" unbalanced="0">
      <fieldsUsage count="2">
        <fieldUsage x="-1"/>
        <fieldUsage x="0"/>
      </fieldsUsage>
    </cacheHierarchy>
    <cacheHierarchy uniqueName="[Table4].[Name]" caption="Name" attribute="1" defaultMemberUniqueName="[Table4].[Name].[All]" allUniqueName="[Table4].[Name].[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Joining_Date]" caption="Joining_Date" attribute="1" defaultMemberUniqueName="[Table4].[Joining_Date].[All]" allUniqueName="[Table4].[Joining_Date].[All]" dimensionUniqueName="[Table4]" displayFolder="" count="0" memberValueDatatype="130" unbalanced="0"/>
    <cacheHierarchy uniqueName="[Table4].[Salary]" caption="Salary" attribute="1" defaultMemberUniqueName="[Table4].[Salary].[All]" allUniqueName="[Table4].[Salary].[All]" dimensionUniqueName="[Table4]" displayFolder="" count="0" memberValueDatatype="20" unbalanced="0"/>
    <cacheHierarchy uniqueName="[Table4].[Manager]" caption="Manager" attribute="1" defaultMemberUniqueName="[Table4].[Manager].[All]" allUniqueName="[Table4].[Manager].[All]" dimensionUniqueName="[Table4]" displayFolder="" count="0" memberValueDatatype="130" unbalanced="0"/>
    <cacheHierarchy uniqueName="[Table5].[Emp_ID]" caption="Emp_ID" attribute="1" defaultMemberUniqueName="[Table5].[Emp_ID].[All]" allUniqueName="[Table5].[Emp_ID].[All]" dimensionUniqueName="[Table5]" displayFolder="" count="0" memberValueDatatype="20" unbalanced="0"/>
    <cacheHierarchy uniqueName="[Table5].[Month]" caption="Month" attribute="1" defaultMemberUniqueName="[Table5].[Month].[All]" allUniqueName="[Table5].[Month].[All]" dimensionUniqueName="[Table5]" displayFolder="" count="0" memberValueDatatype="130" unbalanced="0"/>
    <cacheHierarchy uniqueName="[Table5].[Present_Days]" caption="Present_Days" attribute="1" defaultMemberUniqueName="[Table5].[Present_Days].[All]" allUniqueName="[Table5].[Present_Days].[All]" dimensionUniqueName="[Table5]" displayFolder="" count="0" memberValueDatatype="20" unbalanced="0"/>
    <cacheHierarchy uniqueName="[Table5].[Absent_Days]" caption="Absent_Days" attribute="1" defaultMemberUniqueName="[Table5].[Absent_Days].[All]" allUniqueName="[Table5].[Absent_Days].[All]" dimensionUniqueName="[Table5]" displayFolder="" count="0" memberValueDatatype="20" unbalanced="0"/>
    <cacheHierarchy uniqueName="[Table5].[Attendance_%]" caption="Attendance_%" attribute="1" defaultMemberUniqueName="[Table5].[Attendance_%].[All]" allUniqueName="[Table5].[Attendance_%].[All]" dimensionUniqueName="[Table5]" displayFolder="" count="0" memberValueDatatype="5" unbalanced="0"/>
    <cacheHierarchy uniqueName="[Table6].[Emp_ID]" caption="Emp_ID" attribute="1" defaultMemberUniqueName="[Table6].[Emp_ID].[All]" allUniqueName="[Table6].[Emp_ID].[All]" dimensionUniqueName="[Table6]" displayFolder="" count="0" memberValueDatatype="20" unbalanced="0"/>
    <cacheHierarchy uniqueName="[Table6].[Month]" caption="Month" attribute="1" defaultMemberUniqueName="[Table6].[Month].[All]" allUniqueName="[Table6].[Month].[All]" dimensionUniqueName="[Table6]" displayFolder="" count="0" memberValueDatatype="130" unbalanced="0"/>
    <cacheHierarchy uniqueName="[Table6].[Target]" caption="Target" attribute="1" defaultMemberUniqueName="[Table6].[Target].[All]" allUniqueName="[Table6].[Target].[All]" dimensionUniqueName="[Table6]" displayFolder="" count="0" memberValueDatatype="20" unbalanced="0"/>
    <cacheHierarchy uniqueName="[Table6].[Achieved]" caption="Achieved" attribute="1" defaultMemberUniqueName="[Table6].[Achieved].[All]" allUniqueName="[Table6].[Achieved].[All]" dimensionUniqueName="[Table6]" displayFolder="" count="0" memberValueDatatype="20" unbalanced="0"/>
    <cacheHierarchy uniqueName="[Table6].[Performance_Score]" caption="Performance_Score" attribute="1" defaultMemberUniqueName="[Table6].[Performance_Score].[All]" allUniqueName="[Table6].[Performance_Score].[All]" dimensionUniqueName="[Table6]"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Sum of Emp_ID]" caption="Sum of Emp_ID" measure="1" displayFolder="" measureGroup="Range" count="0" hidden="1">
      <extLst>
        <ext xmlns:x15="http://schemas.microsoft.com/office/spreadsheetml/2010/11/main" uri="{B97F6D7D-B522-45F9-BDA1-12C45D357490}">
          <x15:cacheHierarchy aggregatedColumn="0"/>
        </ext>
      </extLst>
    </cacheHierarchy>
    <cacheHierarchy uniqueName="[Measures].[Count of Emp_ID]" caption="Count of Emp_ID" measure="1" displayFolder="" measureGroup="Range" count="0" hidden="1">
      <extLst>
        <ext xmlns:x15="http://schemas.microsoft.com/office/spreadsheetml/2010/11/main" uri="{B97F6D7D-B522-45F9-BDA1-12C45D357490}">
          <x15:cacheHierarchy aggregatedColumn="0"/>
        </ext>
      </extLst>
    </cacheHierarchy>
    <cacheHierarchy uniqueName="[Measures].[Sum of Performance_Score]" caption="Sum of Performance_Score" measure="1" displayFolder="" measureGroup="Range 1" count="0" hidden="1">
      <extLst>
        <ext xmlns:x15="http://schemas.microsoft.com/office/spreadsheetml/2010/11/main" uri="{B97F6D7D-B522-45F9-BDA1-12C45D357490}">
          <x15:cacheHierarchy aggregatedColumn="10"/>
        </ext>
      </extLst>
    </cacheHierarchy>
    <cacheHierarchy uniqueName="[Measures].[Average of Performance_Score]" caption="Average of Performance_Score" measure="1" displayFolder="" measureGroup="Range 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Range 2" count="0" hidden="1">
      <extLst>
        <ext xmlns:x15="http://schemas.microsoft.com/office/spreadsheetml/2010/11/main" uri="{B97F6D7D-B522-45F9-BDA1-12C45D357490}">
          <x15:cacheHierarchy aggregatedColumn="15"/>
        </ext>
      </extLst>
    </cacheHierarchy>
    <cacheHierarchy uniqueName="[Measures].[Average of Attendance_%]" caption="Average of Attendance_%" measure="1" displayFolder="" measureGroup="Range 2" count="0" hidden="1">
      <extLst>
        <ext xmlns:x15="http://schemas.microsoft.com/office/spreadsheetml/2010/11/main" uri="{B97F6D7D-B522-45F9-BDA1-12C45D357490}">
          <x15:cacheHierarchy aggregatedColumn="15"/>
        </ext>
      </extLst>
    </cacheHierarchy>
    <cacheHierarchy uniqueName="[Measures].[Max of Performance_Score]" caption="Max of Performance_Score" measure="1" displayFolder="" measureGroup="Range 1" count="0" hidden="1">
      <extLst>
        <ext xmlns:x15="http://schemas.microsoft.com/office/spreadsheetml/2010/11/main" uri="{B97F6D7D-B522-45F9-BDA1-12C45D357490}">
          <x15:cacheHierarchy aggregatedColumn="10"/>
        </ext>
      </extLst>
    </cacheHierarchy>
  </cacheHierarchies>
  <kpis count="0"/>
  <dimensions count="7">
    <dimension measure="1" name="Measures" uniqueName="[Measures]" caption="Measures"/>
    <dimension name="Range" uniqueName="[Range]" caption="Range"/>
    <dimension name="Range 1" uniqueName="[Range 1]" caption="Range 1"/>
    <dimension name="Range 2" uniqueName="[Range 2]" caption="Range 2"/>
    <dimension name="Table4" uniqueName="[Table4]" caption="Table4"/>
    <dimension name="Table5" uniqueName="[Table5]" caption="Table5"/>
    <dimension name="Table6" uniqueName="[Table6]" caption="Table6"/>
  </dimensions>
  <measureGroups count="6">
    <measureGroup name="Range" caption="Range"/>
    <measureGroup name="Range 1" caption="Range 1"/>
    <measureGroup name="Range 2" caption="Range 2"/>
    <measureGroup name="Table4" caption="Table4"/>
    <measureGroup name="Table5" caption="Table5"/>
    <measureGroup name="Table6" caption="Table6"/>
  </measureGroups>
  <maps count="6">
    <map measureGroup="0" dimension="1"/>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MITA MONDAL" refreshedDate="46011.403962847224" backgroundQuery="1" createdVersion="8" refreshedVersion="8" minRefreshableVersion="3" recordCount="0" supportSubquery="1" supportAdvancedDrill="1" xr:uid="{2B08597E-221E-4009-BC99-379B8703EA7A}">
  <cacheSource type="external" connectionId="1"/>
  <cacheFields count="1">
    <cacheField name="[Table4].[Emp_ID].[Emp_ID]" caption="Emp_ID" numFmtId="0" hierarchy="16" level="1">
      <sharedItems containsSemiMixedTypes="0" containsNonDate="0" containsString="0"/>
    </cacheField>
  </cacheFields>
  <cacheHierarchies count="47">
    <cacheHierarchy uniqueName="[Range].[Emp_ID]" caption="Emp_ID" attribute="1" defaultMemberUniqueName="[Range].[Emp_ID].[All]" allUniqueName="[Range].[Emp_ID].[All]" dimensionUniqueName="[Range]" displayFolder="" count="0" memberValueDatatype="2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Joining_Date]" caption="Joining_Date" attribute="1" defaultMemberUniqueName="[Range].[Joining_Date].[All]" allUniqueName="[Range].[Joining_Date].[All]" dimensionUniqueName="[Range]" displayFolder="" count="0" memberValueDatatype="130" unbalanced="0"/>
    <cacheHierarchy uniqueName="[Range].[Salary]" caption="Salary" attribute="1" defaultMemberUniqueName="[Range].[Salary].[All]" allUniqueName="[Range].[Salary].[All]" dimensionUniqueName="[Range]" displayFolder="" count="0" memberValueDatatype="20" unbalanced="0"/>
    <cacheHierarchy uniqueName="[Range].[Manager]" caption="Manager" attribute="1" defaultMemberUniqueName="[Range].[Manager].[All]" allUniqueName="[Range].[Manager].[All]" dimensionUniqueName="[Range]" displayFolder="" count="0" memberValueDatatype="130" unbalanced="0"/>
    <cacheHierarchy uniqueName="[Range 1].[Emp_ID]" caption="Emp_ID" attribute="1" defaultMemberUniqueName="[Range 1].[Emp_ID].[All]" allUniqueName="[Range 1].[Emp_ID].[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Target]" caption="Target" attribute="1" defaultMemberUniqueName="[Range 1].[Target].[All]" allUniqueName="[Range 1].[Target].[All]" dimensionUniqueName="[Range 1]" displayFolder="" count="0" memberValueDatatype="20" unbalanced="0"/>
    <cacheHierarchy uniqueName="[Range 1].[Achieved]" caption="Achieved" attribute="1" defaultMemberUniqueName="[Range 1].[Achieved].[All]" allUniqueName="[Range 1].[Achieved].[All]" dimensionUniqueName="[Range 1]" displayFolder="" count="0" memberValueDatatype="20" unbalanced="0"/>
    <cacheHierarchy uniqueName="[Range 1].[Performance_Score]" caption="Performance_Score" attribute="1" defaultMemberUniqueName="[Range 1].[Performance_Score].[All]" allUniqueName="[Range 1].[Performance_Score].[All]" dimensionUniqueName="[Range 1]" displayFolder="" count="0" memberValueDatatype="5" unbalanced="0"/>
    <cacheHierarchy uniqueName="[Range 2].[Emp_ID]" caption="Emp_ID" attribute="1" defaultMemberUniqueName="[Range 2].[Emp_ID].[All]" allUniqueName="[Range 2].[Emp_ID].[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Present_Days]" caption="Present_Days" attribute="1" defaultMemberUniqueName="[Range 2].[Present_Days].[All]" allUniqueName="[Range 2].[Present_Days].[All]" dimensionUniqueName="[Range 2]" displayFolder="" count="0" memberValueDatatype="20" unbalanced="0"/>
    <cacheHierarchy uniqueName="[Range 2].[Absent_Days]" caption="Absent_Days" attribute="1" defaultMemberUniqueName="[Range 2].[Absent_Days].[All]" allUniqueName="[Range 2].[Absent_Days].[All]" dimensionUniqueName="[Range 2]" displayFolder="" count="0" memberValueDatatype="20" unbalanced="0"/>
    <cacheHierarchy uniqueName="[Range 2].[Attendance_%]" caption="Attendance_%" attribute="1" defaultMemberUniqueName="[Range 2].[Attendance_%].[All]" allUniqueName="[Range 2].[Attendance_%].[All]" dimensionUniqueName="[Range 2]" displayFolder="" count="0" memberValueDatatype="5" unbalanced="0"/>
    <cacheHierarchy uniqueName="[Table4].[Emp_ID]" caption="Emp_ID" attribute="1" defaultMemberUniqueName="[Table4].[Emp_ID].[All]" allUniqueName="[Table4].[Emp_ID].[All]" dimensionUniqueName="[Table4]" displayFolder="" count="2" memberValueDatatype="20" unbalanced="0">
      <fieldsUsage count="2">
        <fieldUsage x="-1"/>
        <fieldUsage x="0"/>
      </fieldsUsage>
    </cacheHierarchy>
    <cacheHierarchy uniqueName="[Table4].[Name]" caption="Name" attribute="1" defaultMemberUniqueName="[Table4].[Name].[All]" allUniqueName="[Table4].[Name].[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Joining_Date]" caption="Joining_Date" attribute="1" defaultMemberUniqueName="[Table4].[Joining_Date].[All]" allUniqueName="[Table4].[Joining_Date].[All]" dimensionUniqueName="[Table4]" displayFolder="" count="0" memberValueDatatype="130" unbalanced="0"/>
    <cacheHierarchy uniqueName="[Table4].[Salary]" caption="Salary" attribute="1" defaultMemberUniqueName="[Table4].[Salary].[All]" allUniqueName="[Table4].[Salary].[All]" dimensionUniqueName="[Table4]" displayFolder="" count="0" memberValueDatatype="20" unbalanced="0"/>
    <cacheHierarchy uniqueName="[Table4].[Manager]" caption="Manager" attribute="1" defaultMemberUniqueName="[Table4].[Manager].[All]" allUniqueName="[Table4].[Manager].[All]" dimensionUniqueName="[Table4]" displayFolder="" count="0" memberValueDatatype="130" unbalanced="0"/>
    <cacheHierarchy uniqueName="[Table5].[Emp_ID]" caption="Emp_ID" attribute="1" defaultMemberUniqueName="[Table5].[Emp_ID].[All]" allUniqueName="[Table5].[Emp_ID].[All]" dimensionUniqueName="[Table5]" displayFolder="" count="0" memberValueDatatype="20" unbalanced="0"/>
    <cacheHierarchy uniqueName="[Table5].[Month]" caption="Month" attribute="1" defaultMemberUniqueName="[Table5].[Month].[All]" allUniqueName="[Table5].[Month].[All]" dimensionUniqueName="[Table5]" displayFolder="" count="0" memberValueDatatype="130" unbalanced="0"/>
    <cacheHierarchy uniqueName="[Table5].[Present_Days]" caption="Present_Days" attribute="1" defaultMemberUniqueName="[Table5].[Present_Days].[All]" allUniqueName="[Table5].[Present_Days].[All]" dimensionUniqueName="[Table5]" displayFolder="" count="0" memberValueDatatype="20" unbalanced="0"/>
    <cacheHierarchy uniqueName="[Table5].[Absent_Days]" caption="Absent_Days" attribute="1" defaultMemberUniqueName="[Table5].[Absent_Days].[All]" allUniqueName="[Table5].[Absent_Days].[All]" dimensionUniqueName="[Table5]" displayFolder="" count="0" memberValueDatatype="20" unbalanced="0"/>
    <cacheHierarchy uniqueName="[Table5].[Attendance_%]" caption="Attendance_%" attribute="1" defaultMemberUniqueName="[Table5].[Attendance_%].[All]" allUniqueName="[Table5].[Attendance_%].[All]" dimensionUniqueName="[Table5]" displayFolder="" count="0" memberValueDatatype="5" unbalanced="0"/>
    <cacheHierarchy uniqueName="[Table6].[Emp_ID]" caption="Emp_ID" attribute="1" defaultMemberUniqueName="[Table6].[Emp_ID].[All]" allUniqueName="[Table6].[Emp_ID].[All]" dimensionUniqueName="[Table6]" displayFolder="" count="0" memberValueDatatype="20" unbalanced="0"/>
    <cacheHierarchy uniqueName="[Table6].[Month]" caption="Month" attribute="1" defaultMemberUniqueName="[Table6].[Month].[All]" allUniqueName="[Table6].[Month].[All]" dimensionUniqueName="[Table6]" displayFolder="" count="0" memberValueDatatype="130" unbalanced="0"/>
    <cacheHierarchy uniqueName="[Table6].[Target]" caption="Target" attribute="1" defaultMemberUniqueName="[Table6].[Target].[All]" allUniqueName="[Table6].[Target].[All]" dimensionUniqueName="[Table6]" displayFolder="" count="0" memberValueDatatype="20" unbalanced="0"/>
    <cacheHierarchy uniqueName="[Table6].[Achieved]" caption="Achieved" attribute="1" defaultMemberUniqueName="[Table6].[Achieved].[All]" allUniqueName="[Table6].[Achieved].[All]" dimensionUniqueName="[Table6]" displayFolder="" count="0" memberValueDatatype="20" unbalanced="0"/>
    <cacheHierarchy uniqueName="[Table6].[Performance_Score]" caption="Performance_Score" attribute="1" defaultMemberUniqueName="[Table6].[Performance_Score].[All]" allUniqueName="[Table6].[Performance_Score].[All]" dimensionUniqueName="[Table6]"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Sum of Emp_ID]" caption="Sum of Emp_ID" measure="1" displayFolder="" measureGroup="Range" count="0" hidden="1">
      <extLst>
        <ext xmlns:x15="http://schemas.microsoft.com/office/spreadsheetml/2010/11/main" uri="{B97F6D7D-B522-45F9-BDA1-12C45D357490}">
          <x15:cacheHierarchy aggregatedColumn="0"/>
        </ext>
      </extLst>
    </cacheHierarchy>
    <cacheHierarchy uniqueName="[Measures].[Count of Emp_ID]" caption="Count of Emp_ID" measure="1" displayFolder="" measureGroup="Range" count="0" hidden="1">
      <extLst>
        <ext xmlns:x15="http://schemas.microsoft.com/office/spreadsheetml/2010/11/main" uri="{B97F6D7D-B522-45F9-BDA1-12C45D357490}">
          <x15:cacheHierarchy aggregatedColumn="0"/>
        </ext>
      </extLst>
    </cacheHierarchy>
    <cacheHierarchy uniqueName="[Measures].[Sum of Performance_Score]" caption="Sum of Performance_Score" measure="1" displayFolder="" measureGroup="Range 1" count="0" hidden="1">
      <extLst>
        <ext xmlns:x15="http://schemas.microsoft.com/office/spreadsheetml/2010/11/main" uri="{B97F6D7D-B522-45F9-BDA1-12C45D357490}">
          <x15:cacheHierarchy aggregatedColumn="10"/>
        </ext>
      </extLst>
    </cacheHierarchy>
    <cacheHierarchy uniqueName="[Measures].[Average of Performance_Score]" caption="Average of Performance_Score" measure="1" displayFolder="" measureGroup="Range 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Range 2" count="0" hidden="1">
      <extLst>
        <ext xmlns:x15="http://schemas.microsoft.com/office/spreadsheetml/2010/11/main" uri="{B97F6D7D-B522-45F9-BDA1-12C45D357490}">
          <x15:cacheHierarchy aggregatedColumn="15"/>
        </ext>
      </extLst>
    </cacheHierarchy>
    <cacheHierarchy uniqueName="[Measures].[Average of Attendance_%]" caption="Average of Attendance_%" measure="1" displayFolder="" measureGroup="Range 2" count="0" hidden="1">
      <extLst>
        <ext xmlns:x15="http://schemas.microsoft.com/office/spreadsheetml/2010/11/main" uri="{B97F6D7D-B522-45F9-BDA1-12C45D357490}">
          <x15:cacheHierarchy aggregatedColumn="15"/>
        </ext>
      </extLst>
    </cacheHierarchy>
    <cacheHierarchy uniqueName="[Measures].[Max of Performance_Score]" caption="Max of Performance_Score" measure="1" displayFolder="" measureGroup="Range 1" count="0" hidden="1">
      <extLst>
        <ext xmlns:x15="http://schemas.microsoft.com/office/spreadsheetml/2010/11/main" uri="{B97F6D7D-B522-45F9-BDA1-12C45D357490}">
          <x15:cacheHierarchy aggregatedColumn="10"/>
        </ext>
      </extLst>
    </cacheHierarchy>
  </cacheHierarchies>
  <kpis count="0"/>
  <dimensions count="7">
    <dimension measure="1" name="Measures" uniqueName="[Measures]" caption="Measures"/>
    <dimension name="Range" uniqueName="[Range]" caption="Range"/>
    <dimension name="Range 1" uniqueName="[Range 1]" caption="Range 1"/>
    <dimension name="Range 2" uniqueName="[Range 2]" caption="Range 2"/>
    <dimension name="Table4" uniqueName="[Table4]" caption="Table4"/>
    <dimension name="Table5" uniqueName="[Table5]" caption="Table5"/>
    <dimension name="Table6" uniqueName="[Table6]" caption="Table6"/>
  </dimensions>
  <measureGroups count="6">
    <measureGroup name="Range" caption="Range"/>
    <measureGroup name="Range 1" caption="Range 1"/>
    <measureGroup name="Range 2" caption="Range 2"/>
    <measureGroup name="Table4" caption="Table4"/>
    <measureGroup name="Table5" caption="Table5"/>
    <measureGroup name="Table6" caption="Table6"/>
  </measureGroups>
  <maps count="6">
    <map measureGroup="0" dimension="1"/>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SMITA MONDAL" refreshedDate="46008.862455902781" backgroundQuery="1" createdVersion="3" refreshedVersion="8" minRefreshableVersion="3" recordCount="0" supportSubquery="1" supportAdvancedDrill="1" xr:uid="{13BE5397-926D-4257-AD06-35A46E46ABF9}">
  <cacheSource type="external" connectionId="1">
    <extLst>
      <ext xmlns:x14="http://schemas.microsoft.com/office/spreadsheetml/2009/9/main" uri="{F057638F-6D5F-4e77-A914-E7F072B9BCA8}">
        <x14:sourceConnection name="ThisWorkbookDataModel"/>
      </ext>
    </extLst>
  </cacheSource>
  <cacheFields count="0"/>
  <cacheHierarchies count="47">
    <cacheHierarchy uniqueName="[Range].[Emp_ID]" caption="Emp_ID" attribute="1" defaultMemberUniqueName="[Range].[Emp_ID].[All]" allUniqueName="[Range].[Emp_ID].[All]" dimensionUniqueName="[Range]" displayFolder="" count="0" memberValueDatatype="2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Joining_Date]" caption="Joining_Date" attribute="1" defaultMemberUniqueName="[Range].[Joining_Date].[All]" allUniqueName="[Range].[Joining_Date].[All]" dimensionUniqueName="[Range]" displayFolder="" count="0" memberValueDatatype="130" unbalanced="0"/>
    <cacheHierarchy uniqueName="[Range].[Salary]" caption="Salary" attribute="1" defaultMemberUniqueName="[Range].[Salary].[All]" allUniqueName="[Range].[Salary].[All]" dimensionUniqueName="[Range]" displayFolder="" count="0" memberValueDatatype="20" unbalanced="0"/>
    <cacheHierarchy uniqueName="[Range].[Manager]" caption="Manager" attribute="1" defaultMemberUniqueName="[Range].[Manager].[All]" allUniqueName="[Range].[Manager].[All]" dimensionUniqueName="[Range]" displayFolder="" count="0" memberValueDatatype="130" unbalanced="0"/>
    <cacheHierarchy uniqueName="[Range 1].[Emp_ID]" caption="Emp_ID" attribute="1" defaultMemberUniqueName="[Range 1].[Emp_ID].[All]" allUniqueName="[Range 1].[Emp_ID].[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Target]" caption="Target" attribute="1" defaultMemberUniqueName="[Range 1].[Target].[All]" allUniqueName="[Range 1].[Target].[All]" dimensionUniqueName="[Range 1]" displayFolder="" count="0" memberValueDatatype="20" unbalanced="0"/>
    <cacheHierarchy uniqueName="[Range 1].[Achieved]" caption="Achieved" attribute="1" defaultMemberUniqueName="[Range 1].[Achieved].[All]" allUniqueName="[Range 1].[Achieved].[All]" dimensionUniqueName="[Range 1]" displayFolder="" count="0" memberValueDatatype="20" unbalanced="0"/>
    <cacheHierarchy uniqueName="[Range 1].[Performance_Score]" caption="Performance_Score" attribute="1" defaultMemberUniqueName="[Range 1].[Performance_Score].[All]" allUniqueName="[Range 1].[Performance_Score].[All]" dimensionUniqueName="[Range 1]" displayFolder="" count="0" memberValueDatatype="5" unbalanced="0"/>
    <cacheHierarchy uniqueName="[Range 2].[Emp_ID]" caption="Emp_ID" attribute="1" defaultMemberUniqueName="[Range 2].[Emp_ID].[All]" allUniqueName="[Range 2].[Emp_ID].[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Present_Days]" caption="Present_Days" attribute="1" defaultMemberUniqueName="[Range 2].[Present_Days].[All]" allUniqueName="[Range 2].[Present_Days].[All]" dimensionUniqueName="[Range 2]" displayFolder="" count="0" memberValueDatatype="20" unbalanced="0"/>
    <cacheHierarchy uniqueName="[Range 2].[Absent_Days]" caption="Absent_Days" attribute="1" defaultMemberUniqueName="[Range 2].[Absent_Days].[All]" allUniqueName="[Range 2].[Absent_Days].[All]" dimensionUniqueName="[Range 2]" displayFolder="" count="0" memberValueDatatype="20" unbalanced="0"/>
    <cacheHierarchy uniqueName="[Range 2].[Attendance_%]" caption="Attendance_%" attribute="1" defaultMemberUniqueName="[Range 2].[Attendance_%].[All]" allUniqueName="[Range 2].[Attendance_%].[All]" dimensionUniqueName="[Range 2]" displayFolder="" count="0" memberValueDatatype="5" unbalanced="0"/>
    <cacheHierarchy uniqueName="[Table4].[Emp_ID]" caption="Emp_ID" attribute="1" defaultMemberUniqueName="[Table4].[Emp_ID].[All]" allUniqueName="[Table4].[Emp_ID].[All]" dimensionUniqueName="[Table4]" displayFolder="" count="2" memberValueDatatype="20" unbalanced="0"/>
    <cacheHierarchy uniqueName="[Table4].[Name]" caption="Name" attribute="1" defaultMemberUniqueName="[Table4].[Name].[All]" allUniqueName="[Table4].[Name].[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Joining_Date]" caption="Joining_Date" attribute="1" defaultMemberUniqueName="[Table4].[Joining_Date].[All]" allUniqueName="[Table4].[Joining_Date].[All]" dimensionUniqueName="[Table4]" displayFolder="" count="0" memberValueDatatype="130" unbalanced="0"/>
    <cacheHierarchy uniqueName="[Table4].[Salary]" caption="Salary" attribute="1" defaultMemberUniqueName="[Table4].[Salary].[All]" allUniqueName="[Table4].[Salary].[All]" dimensionUniqueName="[Table4]" displayFolder="" count="0" memberValueDatatype="20" unbalanced="0"/>
    <cacheHierarchy uniqueName="[Table4].[Manager]" caption="Manager" attribute="1" defaultMemberUniqueName="[Table4].[Manager].[All]" allUniqueName="[Table4].[Manager].[All]" dimensionUniqueName="[Table4]" displayFolder="" count="0" memberValueDatatype="130" unbalanced="0"/>
    <cacheHierarchy uniqueName="[Table5].[Emp_ID]" caption="Emp_ID" attribute="1" defaultMemberUniqueName="[Table5].[Emp_ID].[All]" allUniqueName="[Table5].[Emp_ID].[All]" dimensionUniqueName="[Table5]" displayFolder="" count="0" memberValueDatatype="20" unbalanced="0"/>
    <cacheHierarchy uniqueName="[Table5].[Month]" caption="Month" attribute="1" defaultMemberUniqueName="[Table5].[Month].[All]" allUniqueName="[Table5].[Month].[All]" dimensionUniqueName="[Table5]" displayFolder="" count="0" memberValueDatatype="130" unbalanced="0"/>
    <cacheHierarchy uniqueName="[Table5].[Present_Days]" caption="Present_Days" attribute="1" defaultMemberUniqueName="[Table5].[Present_Days].[All]" allUniqueName="[Table5].[Present_Days].[All]" dimensionUniqueName="[Table5]" displayFolder="" count="0" memberValueDatatype="20" unbalanced="0"/>
    <cacheHierarchy uniqueName="[Table5].[Absent_Days]" caption="Absent_Days" attribute="1" defaultMemberUniqueName="[Table5].[Absent_Days].[All]" allUniqueName="[Table5].[Absent_Days].[All]" dimensionUniqueName="[Table5]" displayFolder="" count="0" memberValueDatatype="20" unbalanced="0"/>
    <cacheHierarchy uniqueName="[Table5].[Attendance_%]" caption="Attendance_%" attribute="1" defaultMemberUniqueName="[Table5].[Attendance_%].[All]" allUniqueName="[Table5].[Attendance_%].[All]" dimensionUniqueName="[Table5]" displayFolder="" count="0" memberValueDatatype="5" unbalanced="0"/>
    <cacheHierarchy uniqueName="[Table6].[Emp_ID]" caption="Emp_ID" attribute="1" defaultMemberUniqueName="[Table6].[Emp_ID].[All]" allUniqueName="[Table6].[Emp_ID].[All]" dimensionUniqueName="[Table6]" displayFolder="" count="0" memberValueDatatype="20" unbalanced="0"/>
    <cacheHierarchy uniqueName="[Table6].[Month]" caption="Month" attribute="1" defaultMemberUniqueName="[Table6].[Month].[All]" allUniqueName="[Table6].[Month].[All]" dimensionUniqueName="[Table6]" displayFolder="" count="0" memberValueDatatype="130" unbalanced="0"/>
    <cacheHierarchy uniqueName="[Table6].[Target]" caption="Target" attribute="1" defaultMemberUniqueName="[Table6].[Target].[All]" allUniqueName="[Table6].[Target].[All]" dimensionUniqueName="[Table6]" displayFolder="" count="0" memberValueDatatype="20" unbalanced="0"/>
    <cacheHierarchy uniqueName="[Table6].[Achieved]" caption="Achieved" attribute="1" defaultMemberUniqueName="[Table6].[Achieved].[All]" allUniqueName="[Table6].[Achieved].[All]" dimensionUniqueName="[Table6]" displayFolder="" count="0" memberValueDatatype="20" unbalanced="0"/>
    <cacheHierarchy uniqueName="[Table6].[Performance_Score]" caption="Performance_Score" attribute="1" defaultMemberUniqueName="[Table6].[Performance_Score].[All]" allUniqueName="[Table6].[Performance_Score].[All]" dimensionUniqueName="[Table6]"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Sum of Emp_ID]" caption="Sum of Emp_ID" measure="1" displayFolder="" measureGroup="Range" count="0" hidden="1">
      <extLst>
        <ext xmlns:x15="http://schemas.microsoft.com/office/spreadsheetml/2010/11/main" uri="{B97F6D7D-B522-45F9-BDA1-12C45D357490}">
          <x15:cacheHierarchy aggregatedColumn="0"/>
        </ext>
      </extLst>
    </cacheHierarchy>
    <cacheHierarchy uniqueName="[Measures].[Count of Emp_ID]" caption="Count of Emp_ID" measure="1" displayFolder="" measureGroup="Range" count="0" hidden="1">
      <extLst>
        <ext xmlns:x15="http://schemas.microsoft.com/office/spreadsheetml/2010/11/main" uri="{B97F6D7D-B522-45F9-BDA1-12C45D357490}">
          <x15:cacheHierarchy aggregatedColumn="0"/>
        </ext>
      </extLst>
    </cacheHierarchy>
    <cacheHierarchy uniqueName="[Measures].[Sum of Performance_Score]" caption="Sum of Performance_Score" measure="1" displayFolder="" measureGroup="Range 1" count="0" hidden="1">
      <extLst>
        <ext xmlns:x15="http://schemas.microsoft.com/office/spreadsheetml/2010/11/main" uri="{B97F6D7D-B522-45F9-BDA1-12C45D357490}">
          <x15:cacheHierarchy aggregatedColumn="10"/>
        </ext>
      </extLst>
    </cacheHierarchy>
    <cacheHierarchy uniqueName="[Measures].[Average of Performance_Score]" caption="Average of Performance_Score" measure="1" displayFolder="" measureGroup="Range 1" count="0" hidden="1">
      <extLst>
        <ext xmlns:x15="http://schemas.microsoft.com/office/spreadsheetml/2010/11/main" uri="{B97F6D7D-B522-45F9-BDA1-12C45D357490}">
          <x15:cacheHierarchy aggregatedColumn="10"/>
        </ext>
      </extLst>
    </cacheHierarchy>
    <cacheHierarchy uniqueName="[Measures].[Sum of Attendance_%]" caption="Sum of Attendance_%" measure="1" displayFolder="" measureGroup="Range 2" count="0" hidden="1">
      <extLst>
        <ext xmlns:x15="http://schemas.microsoft.com/office/spreadsheetml/2010/11/main" uri="{B97F6D7D-B522-45F9-BDA1-12C45D357490}">
          <x15:cacheHierarchy aggregatedColumn="15"/>
        </ext>
      </extLst>
    </cacheHierarchy>
    <cacheHierarchy uniqueName="[Measures].[Average of Attendance_%]" caption="Average of Attendance_%" measure="1" displayFolder="" measureGroup="Range 2" count="0" hidden="1">
      <extLst>
        <ext xmlns:x15="http://schemas.microsoft.com/office/spreadsheetml/2010/11/main" uri="{B97F6D7D-B522-45F9-BDA1-12C45D357490}">
          <x15:cacheHierarchy aggregatedColumn="15"/>
        </ext>
      </extLst>
    </cacheHierarchy>
    <cacheHierarchy uniqueName="[Measures].[Max of Performance_Score]" caption="Max of Performance_Score" measure="1" displayFolder="" measureGroup="Range 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9848044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4297ED-AFBC-4C1E-812F-A5EFBC79F7CD}" name="PivotTable2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8:K75" firstHeaderRow="1" firstDataRow="1" firstDataCol="0"/>
  <pivotFields count="1">
    <pivotField allDrilled="1" subtotalTop="0" showAll="0" dataSourceSort="1" defaultSubtotal="0" defaultAttributeDrillState="1"/>
  </pivot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Emp_ID].&amp;[1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Performance_Attendance_Project.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96CF28-D879-4694-AD7A-1581877E8B3D}" name="PivotTable2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8:G75" firstHeaderRow="1" firstDataRow="1" firstDataCol="0"/>
  <pivotFields count="1">
    <pivotField allDrilled="1" subtotalTop="0" showAll="0" dataSourceSort="1" defaultSubtotal="0" defaultAttributeDrillState="1"/>
  </pivot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Emp_ID].&amp;[1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Performance_Attendance_Project.xlsx!Table5">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498C08-01EE-49A0-BA37-361B773F3581}"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B1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Emp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Emp_ID].&amp;[1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Emp_ID"/>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Master!$A$1:$F$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ED316A-1A31-4E81-9288-ADA956102223}" name="PivotTable1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B4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Emp_ID" fld="1"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Emp_ID].&amp;[1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Emp_ID"/>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Master!$A$1:$F$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7EA51F-F7C4-4EDD-BE0D-6B575172207E}" name="PivotTable1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1:B55" firstHeaderRow="1" firstDataRow="1" firstDataCol="1"/>
  <pivotFields count="3">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Average of Performance_Score" fld="1" subtotal="average" baseField="0" baseItem="0"/>
  </dataFields>
  <formats count="1">
    <format dxfId="32">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Emp_ID].&amp;[1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erformance_Score"/>
    <pivotHierarchy dragToData="1"/>
    <pivotHierarchy dragToData="1"/>
    <pivotHierarchy dragToData="1" caption="Max of Performance_Score"/>
  </pivotHierarchies>
  <pivotTableStyleInfo name="PivotStyleMedium4" showRowHeaders="1" showColHeaders="1" showRowStripes="0" showColStripes="0" showLastColumn="1"/>
  <filters count="1">
    <filter fld="0" type="count" id="1" iMeasureHier="43">
      <autoFilter ref="A1">
        <filterColumn colId="0">
          <top10 val="3" filterVal="3"/>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formance!$A$1:$E$9">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BDB5B8-1331-407A-BBBE-29A91C434315}"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B24"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Performance_Score" fld="1" subtotal="average" baseField="0" baseItem="0"/>
  </dataFields>
  <formats count="1">
    <format dxfId="33">
      <pivotArea collapsedLevelsAreSubtotals="1" fieldPosition="0">
        <references count="1">
          <reference field="0" count="0"/>
        </references>
      </pivotArea>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6"/>
          </reference>
        </references>
      </pivotArea>
    </chartFormat>
    <chartFormat chart="2" format="4">
      <pivotArea type="data" outline="0" fieldPosition="0">
        <references count="2">
          <reference field="4294967294" count="1" selected="0">
            <x v="0"/>
          </reference>
          <reference field="0" count="1" selected="0">
            <x v="4"/>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Emp_ID].&amp;[1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erformance_Score"/>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formance!$A$1:$E$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911E51-718B-4156-B08F-EF7B3803ABA5}"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8:B37"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Attendance_%" fld="1" subtotal="average" baseField="0" baseItem="0"/>
  </dataFields>
  <formats count="1">
    <format dxfId="34">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Emp_ID].&amp;[1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Attendance_%"/>
    <pivotHierarchy dragToData="1"/>
  </pivotHierarchies>
  <pivotTableStyleInfo name="PivotStyleMedium4"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ttendance!$A$1:$E$9">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539256-0EE9-4CEF-8D2F-E7A58DB2E54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C75" firstHeaderRow="1" firstDataRow="1" firstDataCol="0"/>
  <pivotFields count="1">
    <pivotField allDrilled="1" subtotalTop="0" showAll="0" dataSourceSort="1" defaultSubtotal="0" defaultAttributeDrillState="1"/>
  </pivot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Emp_ID].&amp;[1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Performance_Attendance_Project.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ID" xr10:uid="{667E7FE4-144E-474B-A6C9-6B4CA300E7A0}" sourceName="[Table4].[Emp_ID]">
  <pivotTables>
    <pivotTable tabId="12" name="PivotTable19"/>
    <pivotTable tabId="12" name="PivotTable14"/>
    <pivotTable tabId="12" name="PivotTable15"/>
    <pivotTable tabId="12" name="PivotTable16"/>
    <pivotTable tabId="12" name="PivotTable17"/>
    <pivotTable tabId="12" name="PivotTable18"/>
    <pivotTable tabId="12" name="PivotTable20"/>
    <pivotTable tabId="12" name="PivotTable21"/>
  </pivotTables>
  <data>
    <olap pivotCacheId="984804432">
      <levels count="2">
        <level uniqueName="[Table4].[Emp_ID].[(All)]" sourceCaption="(All)" count="0"/>
        <level uniqueName="[Table4].[Emp_ID].[Emp_ID]" sourceCaption="Emp_ID" count="8">
          <ranges>
            <range startItem="0">
              <i n="[Table4].[Emp_ID].&amp;[101]" c="101"/>
              <i n="[Table4].[Emp_ID].&amp;[102]" c="102"/>
              <i n="[Table4].[Emp_ID].&amp;[103]" c="103"/>
              <i n="[Table4].[Emp_ID].&amp;[104]" c="104"/>
              <i n="[Table4].[Emp_ID].&amp;[105]" c="105"/>
              <i n="[Table4].[Emp_ID].&amp;[106]" c="106"/>
              <i n="[Table4].[Emp_ID].&amp;[107]" c="107"/>
              <i n="[Table4].[Emp_ID].&amp;[108]" c="108"/>
            </range>
          </ranges>
        </level>
      </levels>
      <selections count="1">
        <selection n="[Table4].[Emp_ID].&amp;[1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_ID" xr10:uid="{CE2C827D-56A3-4F99-AA2B-04136E860AE2}" cache="Slicer_Emp_ID" caption="Emp_ID" columnCount="2" level="1" style="SlicerStyleDark3"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315999-D9E2-4F3E-90CD-E8F61C43E7F8}" name="Table4" displayName="Table4" ref="A1:F9" totalsRowShown="0" headerRowDxfId="31" headerRowBorderDxfId="30" tableBorderDxfId="29" totalsRowBorderDxfId="28">
  <autoFilter ref="A1:F9" xr:uid="{0B315999-D9E2-4F3E-90CD-E8F61C43E7F8}"/>
  <tableColumns count="6">
    <tableColumn id="1" xr3:uid="{5C2ED6AF-E718-4A35-A441-61E258ECD015}" name="Emp_ID" dataDxfId="27"/>
    <tableColumn id="2" xr3:uid="{25F2998A-A734-48DF-8F6F-FB94D96E3177}" name="Name" dataDxfId="26"/>
    <tableColumn id="3" xr3:uid="{ECC82BEC-578E-4575-8A74-82714064F721}" name="Department" dataDxfId="25"/>
    <tableColumn id="4" xr3:uid="{904AA0B4-F430-4DB8-8296-401B3A3B7B18}" name="Joining_Date" dataDxfId="24"/>
    <tableColumn id="5" xr3:uid="{7F4478CF-64D9-4295-B01B-DA37D1AB6A97}" name="Salary" dataDxfId="23"/>
    <tableColumn id="6" xr3:uid="{23167E47-53CD-4E74-AA33-6505FA5E1600}" name="Manager" dataDxfId="22"/>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418A68-059A-4DB2-BF86-5165413A4CDC}" name="Table5" displayName="Table5" ref="A1:E9" totalsRowShown="0" headerRowDxfId="21" headerRowBorderDxfId="20" tableBorderDxfId="19" totalsRowBorderDxfId="18">
  <autoFilter ref="A1:E9" xr:uid="{5B418A68-059A-4DB2-BF86-5165413A4CDC}"/>
  <tableColumns count="5">
    <tableColumn id="1" xr3:uid="{443DC848-28A9-448A-89CF-FD4C5F91DB25}" name="Emp_ID" dataDxfId="17"/>
    <tableColumn id="2" xr3:uid="{39CC1870-1977-4469-9E81-635B0042FD86}" name="Month" dataDxfId="16"/>
    <tableColumn id="3" xr3:uid="{A36C8F20-EE55-4AFF-80A9-6DBB63334F1E}" name="Present_Days" dataDxfId="15"/>
    <tableColumn id="4" xr3:uid="{E4C29AF2-C4FB-43E9-8F9B-F55351988EC2}" name="Absent_Days" dataDxfId="14"/>
    <tableColumn id="5" xr3:uid="{EBFF7B43-1C66-4A77-A000-7AC0BFFD1032}" name="Attendance_%" dataDxfId="13" dataCellStyle="Percent">
      <calculatedColumnFormula>C2/(C2+D2)</calculatedColumnFormula>
    </tableColumn>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D542F1-FF19-42D3-B4A7-AFACD6B0FFBC}" name="Table6" displayName="Table6" ref="A1:E9" totalsRowShown="0" headerRowDxfId="12" headerRowBorderDxfId="11" tableBorderDxfId="10" totalsRowBorderDxfId="9">
  <autoFilter ref="A1:E9" xr:uid="{17D542F1-FF19-42D3-B4A7-AFACD6B0FFBC}"/>
  <tableColumns count="5">
    <tableColumn id="1" xr3:uid="{E31B8C96-F175-46F7-AC96-76530C9F5AD4}" name="Emp_ID" dataDxfId="8"/>
    <tableColumn id="2" xr3:uid="{309CE471-B895-42BB-97A4-E4EF78044B08}" name="Month" dataDxfId="7"/>
    <tableColumn id="3" xr3:uid="{789E883F-6D7B-49DB-8632-CACECFEFDEF7}" name="Target" dataDxfId="6"/>
    <tableColumn id="4" xr3:uid="{AA6285DC-2B1F-45CA-B71E-D692060DB011}" name="Achieved" dataDxfId="5"/>
    <tableColumn id="5" xr3:uid="{9C99BD78-D64F-4D64-821D-93EBE3908B07}" name="Performance_Score" dataDxfId="4" dataCellStyle="Percent">
      <calculatedColumnFormula>D2/C2</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workbookViewId="0">
      <selection activeCell="L12" sqref="L12"/>
    </sheetView>
  </sheetViews>
  <sheetFormatPr defaultRowHeight="14.4" x14ac:dyDescent="0.3"/>
  <cols>
    <col min="1" max="1" width="9.44140625" customWidth="1"/>
    <col min="2" max="2" width="10" bestFit="1" customWidth="1"/>
    <col min="3" max="3" width="13" customWidth="1"/>
    <col min="4" max="4" width="13.6640625" customWidth="1"/>
    <col min="5" max="5" width="8" customWidth="1"/>
    <col min="6" max="6" width="10.44140625" customWidth="1"/>
  </cols>
  <sheetData>
    <row r="1" spans="1:6" x14ac:dyDescent="0.3">
      <c r="A1" s="22" t="s">
        <v>0</v>
      </c>
      <c r="B1" s="23" t="s">
        <v>1</v>
      </c>
      <c r="C1" s="23" t="s">
        <v>2</v>
      </c>
      <c r="D1" s="23" t="s">
        <v>3</v>
      </c>
      <c r="E1" s="23" t="s">
        <v>4</v>
      </c>
      <c r="F1" s="24" t="s">
        <v>5</v>
      </c>
    </row>
    <row r="2" spans="1:6" x14ac:dyDescent="0.3">
      <c r="A2" s="20">
        <v>101</v>
      </c>
      <c r="B2" s="2" t="s">
        <v>6</v>
      </c>
      <c r="C2" s="2" t="s">
        <v>7</v>
      </c>
      <c r="D2" s="2" t="s">
        <v>8</v>
      </c>
      <c r="E2" s="2">
        <v>32000</v>
      </c>
      <c r="F2" s="21" t="s">
        <v>9</v>
      </c>
    </row>
    <row r="3" spans="1:6" x14ac:dyDescent="0.3">
      <c r="A3" s="20">
        <v>102</v>
      </c>
      <c r="B3" s="2" t="s">
        <v>10</v>
      </c>
      <c r="C3" s="2" t="s">
        <v>11</v>
      </c>
      <c r="D3" s="2" t="s">
        <v>12</v>
      </c>
      <c r="E3" s="2">
        <v>35000</v>
      </c>
      <c r="F3" s="21" t="s">
        <v>13</v>
      </c>
    </row>
    <row r="4" spans="1:6" x14ac:dyDescent="0.3">
      <c r="A4" s="20">
        <v>103</v>
      </c>
      <c r="B4" s="2" t="s">
        <v>14</v>
      </c>
      <c r="C4" s="2" t="s">
        <v>15</v>
      </c>
      <c r="D4" s="2" t="s">
        <v>16</v>
      </c>
      <c r="E4" s="2">
        <v>45000</v>
      </c>
      <c r="F4" s="21" t="s">
        <v>17</v>
      </c>
    </row>
    <row r="5" spans="1:6" x14ac:dyDescent="0.3">
      <c r="A5" s="20">
        <v>104</v>
      </c>
      <c r="B5" s="2" t="s">
        <v>18</v>
      </c>
      <c r="C5" s="2" t="s">
        <v>19</v>
      </c>
      <c r="D5" s="2" t="s">
        <v>20</v>
      </c>
      <c r="E5" s="2">
        <v>30000</v>
      </c>
      <c r="F5" s="21" t="s">
        <v>21</v>
      </c>
    </row>
    <row r="6" spans="1:6" x14ac:dyDescent="0.3">
      <c r="A6" s="20">
        <v>105</v>
      </c>
      <c r="B6" s="2" t="s">
        <v>22</v>
      </c>
      <c r="C6" s="2" t="s">
        <v>7</v>
      </c>
      <c r="D6" s="2" t="s">
        <v>23</v>
      </c>
      <c r="E6" s="2">
        <v>38000</v>
      </c>
      <c r="F6" s="21" t="s">
        <v>9</v>
      </c>
    </row>
    <row r="7" spans="1:6" x14ac:dyDescent="0.3">
      <c r="A7" s="20">
        <v>106</v>
      </c>
      <c r="B7" s="2" t="s">
        <v>24</v>
      </c>
      <c r="C7" s="2" t="s">
        <v>15</v>
      </c>
      <c r="D7" s="2" t="s">
        <v>25</v>
      </c>
      <c r="E7" s="2">
        <v>42000</v>
      </c>
      <c r="F7" s="21" t="s">
        <v>17</v>
      </c>
    </row>
    <row r="8" spans="1:6" x14ac:dyDescent="0.3">
      <c r="A8" s="20">
        <v>107</v>
      </c>
      <c r="B8" s="2" t="s">
        <v>26</v>
      </c>
      <c r="C8" s="2" t="s">
        <v>27</v>
      </c>
      <c r="D8" s="2" t="s">
        <v>28</v>
      </c>
      <c r="E8" s="2">
        <v>40000</v>
      </c>
      <c r="F8" s="21" t="s">
        <v>29</v>
      </c>
    </row>
    <row r="9" spans="1:6" x14ac:dyDescent="0.3">
      <c r="A9" s="25">
        <v>108</v>
      </c>
      <c r="B9" s="26" t="s">
        <v>30</v>
      </c>
      <c r="C9" s="26" t="s">
        <v>11</v>
      </c>
      <c r="D9" s="26" t="s">
        <v>31</v>
      </c>
      <c r="E9" s="26">
        <v>36000</v>
      </c>
      <c r="F9" s="27" t="s">
        <v>13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
  <sheetViews>
    <sheetView topLeftCell="A6" workbookViewId="0">
      <selection activeCell="J9" sqref="J9"/>
    </sheetView>
  </sheetViews>
  <sheetFormatPr defaultRowHeight="14.4" x14ac:dyDescent="0.3"/>
  <cols>
    <col min="1" max="1" width="11.5546875" bestFit="1" customWidth="1"/>
    <col min="2" max="2" width="6" bestFit="1" customWidth="1"/>
  </cols>
  <sheetData>
    <row r="1" spans="1:4" x14ac:dyDescent="0.3">
      <c r="A1" s="1" t="s">
        <v>40</v>
      </c>
      <c r="B1" s="1" t="s">
        <v>41</v>
      </c>
    </row>
    <row r="2" spans="1:4" x14ac:dyDescent="0.3">
      <c r="A2" s="2" t="s">
        <v>42</v>
      </c>
      <c r="B2" s="2">
        <v>0</v>
      </c>
    </row>
    <row r="3" spans="1:4" x14ac:dyDescent="0.3">
      <c r="A3" s="2" t="s">
        <v>43</v>
      </c>
      <c r="B3" s="2">
        <v>2000</v>
      </c>
    </row>
    <row r="4" spans="1:4" x14ac:dyDescent="0.3">
      <c r="A4" s="2" t="s">
        <v>44</v>
      </c>
      <c r="B4" s="2">
        <v>4000</v>
      </c>
    </row>
    <row r="6" spans="1:4" x14ac:dyDescent="0.3">
      <c r="A6" s="33" t="s">
        <v>40</v>
      </c>
      <c r="B6" s="34" t="s">
        <v>42</v>
      </c>
      <c r="C6" s="34" t="s">
        <v>43</v>
      </c>
      <c r="D6" s="34" t="s">
        <v>44</v>
      </c>
    </row>
    <row r="7" spans="1:4" x14ac:dyDescent="0.3">
      <c r="A7" s="33" t="s">
        <v>41</v>
      </c>
      <c r="B7" s="34">
        <v>0</v>
      </c>
      <c r="C7" s="34">
        <v>2000</v>
      </c>
      <c r="D7" s="34">
        <v>4000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election sqref="A1:E9"/>
    </sheetView>
  </sheetViews>
  <sheetFormatPr defaultRowHeight="14.4" x14ac:dyDescent="0.3"/>
  <cols>
    <col min="1" max="1" width="9.44140625" customWidth="1"/>
    <col min="2" max="2" width="8.6640625" customWidth="1"/>
    <col min="3" max="3" width="14.21875" customWidth="1"/>
    <col min="4" max="4" width="13.77734375" customWidth="1"/>
    <col min="5" max="5" width="15.109375" customWidth="1"/>
  </cols>
  <sheetData>
    <row r="1" spans="1:5" x14ac:dyDescent="0.3">
      <c r="A1" s="22" t="s">
        <v>0</v>
      </c>
      <c r="B1" s="23" t="s">
        <v>32</v>
      </c>
      <c r="C1" s="23" t="s">
        <v>33</v>
      </c>
      <c r="D1" s="23" t="s">
        <v>34</v>
      </c>
      <c r="E1" s="24" t="s">
        <v>35</v>
      </c>
    </row>
    <row r="2" spans="1:5" x14ac:dyDescent="0.3">
      <c r="A2" s="20">
        <v>101</v>
      </c>
      <c r="B2" s="2" t="s">
        <v>36</v>
      </c>
      <c r="C2" s="2">
        <v>22</v>
      </c>
      <c r="D2" s="2">
        <v>2</v>
      </c>
      <c r="E2" s="28">
        <f t="shared" ref="E2:E9" si="0">C2/(C2+D2)</f>
        <v>0.91666666666666663</v>
      </c>
    </row>
    <row r="3" spans="1:5" x14ac:dyDescent="0.3">
      <c r="A3" s="20">
        <v>102</v>
      </c>
      <c r="B3" s="2" t="s">
        <v>68</v>
      </c>
      <c r="C3" s="2">
        <v>20</v>
      </c>
      <c r="D3" s="2">
        <v>4</v>
      </c>
      <c r="E3" s="28">
        <f t="shared" si="0"/>
        <v>0.83333333333333337</v>
      </c>
    </row>
    <row r="4" spans="1:5" x14ac:dyDescent="0.3">
      <c r="A4" s="20">
        <v>103</v>
      </c>
      <c r="B4" s="2" t="s">
        <v>36</v>
      </c>
      <c r="C4" s="2">
        <v>18</v>
      </c>
      <c r="D4" s="2">
        <v>6</v>
      </c>
      <c r="E4" s="28">
        <f t="shared" si="0"/>
        <v>0.75</v>
      </c>
    </row>
    <row r="5" spans="1:5" x14ac:dyDescent="0.3">
      <c r="A5" s="20">
        <v>104</v>
      </c>
      <c r="B5" s="2" t="s">
        <v>67</v>
      </c>
      <c r="C5" s="2">
        <v>23</v>
      </c>
      <c r="D5" s="2">
        <v>1</v>
      </c>
      <c r="E5" s="28">
        <f t="shared" si="0"/>
        <v>0.95833333333333337</v>
      </c>
    </row>
    <row r="6" spans="1:5" x14ac:dyDescent="0.3">
      <c r="A6" s="20">
        <v>105</v>
      </c>
      <c r="B6" s="2" t="s">
        <v>36</v>
      </c>
      <c r="C6" s="2">
        <v>19</v>
      </c>
      <c r="D6" s="2">
        <v>5</v>
      </c>
      <c r="E6" s="28">
        <f t="shared" si="0"/>
        <v>0.79166666666666663</v>
      </c>
    </row>
    <row r="7" spans="1:5" x14ac:dyDescent="0.3">
      <c r="A7" s="20">
        <v>106</v>
      </c>
      <c r="B7" s="2" t="s">
        <v>36</v>
      </c>
      <c r="C7" s="2">
        <v>21</v>
      </c>
      <c r="D7" s="2">
        <v>3</v>
      </c>
      <c r="E7" s="28">
        <f t="shared" si="0"/>
        <v>0.875</v>
      </c>
    </row>
    <row r="8" spans="1:5" x14ac:dyDescent="0.3">
      <c r="A8" s="20">
        <v>107</v>
      </c>
      <c r="B8" s="2" t="s">
        <v>67</v>
      </c>
      <c r="C8" s="2">
        <v>20</v>
      </c>
      <c r="D8" s="2">
        <v>4</v>
      </c>
      <c r="E8" s="28">
        <f t="shared" si="0"/>
        <v>0.83333333333333337</v>
      </c>
    </row>
    <row r="9" spans="1:5" x14ac:dyDescent="0.3">
      <c r="A9" s="25">
        <v>108</v>
      </c>
      <c r="B9" s="26" t="s">
        <v>36</v>
      </c>
      <c r="C9" s="26">
        <v>24</v>
      </c>
      <c r="D9" s="26">
        <v>0</v>
      </c>
      <c r="E9" s="29">
        <f t="shared" si="0"/>
        <v>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workbookViewId="0">
      <selection sqref="A1:E9"/>
    </sheetView>
  </sheetViews>
  <sheetFormatPr defaultRowHeight="14.4" x14ac:dyDescent="0.3"/>
  <cols>
    <col min="1" max="1" width="9.44140625" customWidth="1"/>
    <col min="2" max="2" width="8.6640625" customWidth="1"/>
    <col min="3" max="3" width="8.21875" customWidth="1"/>
    <col min="4" max="4" width="10.6640625" customWidth="1"/>
    <col min="5" max="5" width="19.44140625" customWidth="1"/>
  </cols>
  <sheetData>
    <row r="1" spans="1:5" x14ac:dyDescent="0.3">
      <c r="A1" s="22" t="s">
        <v>0</v>
      </c>
      <c r="B1" s="23" t="s">
        <v>32</v>
      </c>
      <c r="C1" s="23" t="s">
        <v>37</v>
      </c>
      <c r="D1" s="23" t="s">
        <v>38</v>
      </c>
      <c r="E1" s="24" t="s">
        <v>39</v>
      </c>
    </row>
    <row r="2" spans="1:5" x14ac:dyDescent="0.3">
      <c r="A2" s="20">
        <v>101</v>
      </c>
      <c r="B2" s="2" t="s">
        <v>36</v>
      </c>
      <c r="C2" s="2">
        <v>50</v>
      </c>
      <c r="D2" s="2">
        <v>45</v>
      </c>
      <c r="E2" s="30">
        <f t="shared" ref="E2:E9" si="0">D2/C2</f>
        <v>0.9</v>
      </c>
    </row>
    <row r="3" spans="1:5" x14ac:dyDescent="0.3">
      <c r="A3" s="20">
        <v>102</v>
      </c>
      <c r="B3" s="2" t="s">
        <v>36</v>
      </c>
      <c r="C3" s="2">
        <v>40</v>
      </c>
      <c r="D3" s="2">
        <v>32</v>
      </c>
      <c r="E3" s="30">
        <f t="shared" si="0"/>
        <v>0.8</v>
      </c>
    </row>
    <row r="4" spans="1:5" x14ac:dyDescent="0.3">
      <c r="A4" s="20">
        <v>103</v>
      </c>
      <c r="B4" s="2" t="s">
        <v>36</v>
      </c>
      <c r="C4" s="2">
        <v>60</v>
      </c>
      <c r="D4" s="2">
        <v>55</v>
      </c>
      <c r="E4" s="30">
        <f t="shared" si="0"/>
        <v>0.91666666666666663</v>
      </c>
    </row>
    <row r="5" spans="1:5" x14ac:dyDescent="0.3">
      <c r="A5" s="20">
        <v>104</v>
      </c>
      <c r="B5" s="2" t="s">
        <v>36</v>
      </c>
      <c r="C5" s="2">
        <v>45</v>
      </c>
      <c r="D5" s="2">
        <v>30</v>
      </c>
      <c r="E5" s="30">
        <f t="shared" si="0"/>
        <v>0.66666666666666663</v>
      </c>
    </row>
    <row r="6" spans="1:5" x14ac:dyDescent="0.3">
      <c r="A6" s="20">
        <v>105</v>
      </c>
      <c r="B6" s="2" t="s">
        <v>36</v>
      </c>
      <c r="C6" s="2">
        <v>55</v>
      </c>
      <c r="D6" s="2">
        <v>49</v>
      </c>
      <c r="E6" s="30">
        <f t="shared" si="0"/>
        <v>0.89090909090909087</v>
      </c>
    </row>
    <row r="7" spans="1:5" x14ac:dyDescent="0.3">
      <c r="A7" s="20">
        <v>106</v>
      </c>
      <c r="B7" s="2" t="s">
        <v>36</v>
      </c>
      <c r="C7" s="2">
        <v>48</v>
      </c>
      <c r="D7" s="2">
        <v>44</v>
      </c>
      <c r="E7" s="30">
        <f t="shared" si="0"/>
        <v>0.91666666666666663</v>
      </c>
    </row>
    <row r="8" spans="1:5" x14ac:dyDescent="0.3">
      <c r="A8" s="20">
        <v>107</v>
      </c>
      <c r="B8" s="2" t="s">
        <v>36</v>
      </c>
      <c r="C8" s="2">
        <v>52</v>
      </c>
      <c r="D8" s="2">
        <v>38</v>
      </c>
      <c r="E8" s="30">
        <f t="shared" si="0"/>
        <v>0.73076923076923073</v>
      </c>
    </row>
    <row r="9" spans="1:5" x14ac:dyDescent="0.3">
      <c r="A9" s="25">
        <v>108</v>
      </c>
      <c r="B9" s="26" t="s">
        <v>36</v>
      </c>
      <c r="C9" s="26">
        <v>42</v>
      </c>
      <c r="D9" s="26">
        <v>40</v>
      </c>
      <c r="E9" s="31">
        <f t="shared" si="0"/>
        <v>0.95238095238095233</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78399-784E-4361-9759-8D536DBEB441}">
  <dimension ref="A1:C25"/>
  <sheetViews>
    <sheetView topLeftCell="A11" workbookViewId="0">
      <selection activeCell="A17" sqref="A17:C17"/>
    </sheetView>
  </sheetViews>
  <sheetFormatPr defaultRowHeight="14.4" x14ac:dyDescent="0.3"/>
  <cols>
    <col min="1" max="1" width="7.5546875" bestFit="1" customWidth="1"/>
    <col min="2" max="2" width="19.21875" bestFit="1" customWidth="1"/>
    <col min="3" max="3" width="16.5546875" bestFit="1" customWidth="1"/>
  </cols>
  <sheetData>
    <row r="1" spans="1:2" x14ac:dyDescent="0.3">
      <c r="A1" s="4" t="s">
        <v>45</v>
      </c>
    </row>
    <row r="3" spans="1:2" x14ac:dyDescent="0.3">
      <c r="A3" t="s">
        <v>47</v>
      </c>
    </row>
    <row r="5" spans="1:2" x14ac:dyDescent="0.3">
      <c r="A5" s="33" t="s">
        <v>0</v>
      </c>
      <c r="B5" s="33" t="s">
        <v>46</v>
      </c>
    </row>
    <row r="6" spans="1:2" x14ac:dyDescent="0.3">
      <c r="A6" s="2">
        <v>101</v>
      </c>
      <c r="B6" s="2" t="str" cm="1">
        <f t="array" ref="B6:B13">IF(Attendances&lt;80%,"Low Attendance","Ok")</f>
        <v>Ok</v>
      </c>
    </row>
    <row r="7" spans="1:2" x14ac:dyDescent="0.3">
      <c r="A7" s="2">
        <v>102</v>
      </c>
      <c r="B7" s="2" t="str">
        <v>Ok</v>
      </c>
    </row>
    <row r="8" spans="1:2" x14ac:dyDescent="0.3">
      <c r="A8" s="2">
        <v>103</v>
      </c>
      <c r="B8" s="2" t="str">
        <v>Low Attendance</v>
      </c>
    </row>
    <row r="9" spans="1:2" x14ac:dyDescent="0.3">
      <c r="A9" s="2">
        <v>104</v>
      </c>
      <c r="B9" s="2" t="str">
        <v>Ok</v>
      </c>
    </row>
    <row r="10" spans="1:2" x14ac:dyDescent="0.3">
      <c r="A10" s="2">
        <v>105</v>
      </c>
      <c r="B10" s="2" t="str">
        <v>Low Attendance</v>
      </c>
    </row>
    <row r="11" spans="1:2" x14ac:dyDescent="0.3">
      <c r="A11" s="2">
        <v>106</v>
      </c>
      <c r="B11" s="2" t="str">
        <v>Ok</v>
      </c>
    </row>
    <row r="12" spans="1:2" x14ac:dyDescent="0.3">
      <c r="A12" s="2">
        <v>107</v>
      </c>
      <c r="B12" s="2" t="str">
        <v>Ok</v>
      </c>
    </row>
    <row r="13" spans="1:2" x14ac:dyDescent="0.3">
      <c r="A13" s="2">
        <v>108</v>
      </c>
      <c r="B13" s="2" t="str">
        <v>Ok</v>
      </c>
    </row>
    <row r="15" spans="1:2" x14ac:dyDescent="0.3">
      <c r="A15" t="s">
        <v>49</v>
      </c>
    </row>
    <row r="17" spans="1:3" x14ac:dyDescent="0.3">
      <c r="A17" s="33" t="s">
        <v>0</v>
      </c>
      <c r="B17" s="33" t="s">
        <v>39</v>
      </c>
      <c r="C17" s="33" t="s">
        <v>48</v>
      </c>
    </row>
    <row r="18" spans="1:3" x14ac:dyDescent="0.3">
      <c r="A18" s="2">
        <v>101</v>
      </c>
      <c r="B18" s="6">
        <v>0.9</v>
      </c>
      <c r="C18" s="2" t="str">
        <f>IF(B18&gt;0.8,"Excellent","Improve")</f>
        <v>Excellent</v>
      </c>
    </row>
    <row r="19" spans="1:3" x14ac:dyDescent="0.3">
      <c r="A19" s="2">
        <v>102</v>
      </c>
      <c r="B19" s="6">
        <v>0.8</v>
      </c>
      <c r="C19" s="2" t="str">
        <f t="shared" ref="C19:C25" si="0">IF(B19&gt;0.8,"Excellent","Improve")</f>
        <v>Improve</v>
      </c>
    </row>
    <row r="20" spans="1:3" x14ac:dyDescent="0.3">
      <c r="A20" s="2">
        <v>103</v>
      </c>
      <c r="B20" s="6">
        <v>0.91666666666666663</v>
      </c>
      <c r="C20" s="2" t="str">
        <f t="shared" si="0"/>
        <v>Excellent</v>
      </c>
    </row>
    <row r="21" spans="1:3" x14ac:dyDescent="0.3">
      <c r="A21" s="2">
        <v>104</v>
      </c>
      <c r="B21" s="6">
        <v>0.66666666666666663</v>
      </c>
      <c r="C21" s="2" t="str">
        <f t="shared" si="0"/>
        <v>Improve</v>
      </c>
    </row>
    <row r="22" spans="1:3" x14ac:dyDescent="0.3">
      <c r="A22" s="2">
        <v>105</v>
      </c>
      <c r="B22" s="6">
        <v>0.89090909090909087</v>
      </c>
      <c r="C22" s="2" t="str">
        <f t="shared" si="0"/>
        <v>Excellent</v>
      </c>
    </row>
    <row r="23" spans="1:3" x14ac:dyDescent="0.3">
      <c r="A23" s="2">
        <v>106</v>
      </c>
      <c r="B23" s="6">
        <v>0.91666666666666663</v>
      </c>
      <c r="C23" s="2" t="str">
        <f t="shared" si="0"/>
        <v>Excellent</v>
      </c>
    </row>
    <row r="24" spans="1:3" x14ac:dyDescent="0.3">
      <c r="A24" s="2">
        <v>107</v>
      </c>
      <c r="B24" s="6">
        <v>0.73076923076923073</v>
      </c>
      <c r="C24" s="2" t="str">
        <f t="shared" si="0"/>
        <v>Improve</v>
      </c>
    </row>
    <row r="25" spans="1:3" x14ac:dyDescent="0.3">
      <c r="A25" s="2">
        <v>108</v>
      </c>
      <c r="B25" s="6">
        <v>0.95238095238095233</v>
      </c>
      <c r="C25" s="2" t="str">
        <f t="shared" si="0"/>
        <v>Excellent</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E8925-A1BA-4F40-95D5-273BD2872D49}">
  <dimension ref="A1:B18"/>
  <sheetViews>
    <sheetView workbookViewId="0">
      <selection activeCell="A17" sqref="A17:B17"/>
    </sheetView>
  </sheetViews>
  <sheetFormatPr defaultRowHeight="14.4" x14ac:dyDescent="0.3"/>
  <cols>
    <col min="2" max="2" width="11.109375" bestFit="1" customWidth="1"/>
  </cols>
  <sheetData>
    <row r="1" spans="1:2" x14ac:dyDescent="0.3">
      <c r="A1" s="4" t="s">
        <v>50</v>
      </c>
    </row>
    <row r="3" spans="1:2" x14ac:dyDescent="0.3">
      <c r="A3" t="s">
        <v>51</v>
      </c>
    </row>
    <row r="5" spans="1:2" x14ac:dyDescent="0.3">
      <c r="A5" s="33" t="s">
        <v>0</v>
      </c>
      <c r="B5" s="33" t="s">
        <v>2</v>
      </c>
    </row>
    <row r="6" spans="1:2" x14ac:dyDescent="0.3">
      <c r="A6" s="2">
        <v>101</v>
      </c>
      <c r="B6" s="2" t="str">
        <f>VLOOKUP(A6,Emp,3,0)</f>
        <v>Sales</v>
      </c>
    </row>
    <row r="7" spans="1:2" x14ac:dyDescent="0.3">
      <c r="A7" s="2">
        <v>102</v>
      </c>
      <c r="B7" s="2" t="str">
        <f t="shared" ref="B7:B13" si="0">VLOOKUP(A7,Emp,3,0)</f>
        <v>HR</v>
      </c>
    </row>
    <row r="8" spans="1:2" x14ac:dyDescent="0.3">
      <c r="A8" s="2">
        <v>103</v>
      </c>
      <c r="B8" s="2" t="str">
        <f t="shared" si="0"/>
        <v>IT</v>
      </c>
    </row>
    <row r="9" spans="1:2" x14ac:dyDescent="0.3">
      <c r="A9" s="2">
        <v>104</v>
      </c>
      <c r="B9" s="2" t="str">
        <f t="shared" si="0"/>
        <v>Marketing</v>
      </c>
    </row>
    <row r="10" spans="1:2" x14ac:dyDescent="0.3">
      <c r="A10" s="2">
        <v>105</v>
      </c>
      <c r="B10" s="2" t="str">
        <f t="shared" si="0"/>
        <v>Sales</v>
      </c>
    </row>
    <row r="11" spans="1:2" x14ac:dyDescent="0.3">
      <c r="A11" s="2">
        <v>106</v>
      </c>
      <c r="B11" s="2" t="str">
        <f t="shared" si="0"/>
        <v>IT</v>
      </c>
    </row>
    <row r="12" spans="1:2" x14ac:dyDescent="0.3">
      <c r="A12" s="2">
        <v>107</v>
      </c>
      <c r="B12" s="2" t="str">
        <f t="shared" si="0"/>
        <v>Finance</v>
      </c>
    </row>
    <row r="13" spans="1:2" x14ac:dyDescent="0.3">
      <c r="A13" s="2">
        <v>108</v>
      </c>
      <c r="B13" s="2" t="str">
        <f t="shared" si="0"/>
        <v>HR</v>
      </c>
    </row>
    <row r="15" spans="1:2" x14ac:dyDescent="0.3">
      <c r="A15" t="s">
        <v>52</v>
      </c>
    </row>
    <row r="17" spans="1:2" x14ac:dyDescent="0.3">
      <c r="A17" s="33" t="s">
        <v>0</v>
      </c>
      <c r="B17" s="33" t="s">
        <v>37</v>
      </c>
    </row>
    <row r="18" spans="1:2" x14ac:dyDescent="0.3">
      <c r="A18" s="2">
        <v>101</v>
      </c>
      <c r="B18" s="2">
        <f>VLOOKUP(A18,Performance,3,0)</f>
        <v>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C3C59-4CE2-4042-AB6B-47D1E26EB9E3}">
  <dimension ref="A1:B16"/>
  <sheetViews>
    <sheetView workbookViewId="0">
      <selection activeCell="A15" sqref="A15:B15"/>
    </sheetView>
  </sheetViews>
  <sheetFormatPr defaultRowHeight="14.4" x14ac:dyDescent="0.3"/>
  <cols>
    <col min="1" max="1" width="11.88671875" bestFit="1" customWidth="1"/>
    <col min="2" max="2" width="6.21875" bestFit="1" customWidth="1"/>
  </cols>
  <sheetData>
    <row r="1" spans="1:2" x14ac:dyDescent="0.3">
      <c r="A1" s="4" t="s">
        <v>53</v>
      </c>
    </row>
    <row r="3" spans="1:2" x14ac:dyDescent="0.3">
      <c r="A3" t="s">
        <v>54</v>
      </c>
    </row>
    <row r="5" spans="1:2" x14ac:dyDescent="0.3">
      <c r="A5" s="33" t="s">
        <v>40</v>
      </c>
      <c r="B5" s="33" t="s">
        <v>41</v>
      </c>
    </row>
    <row r="6" spans="1:2" x14ac:dyDescent="0.3">
      <c r="A6" s="2" t="s">
        <v>44</v>
      </c>
      <c r="B6" s="2">
        <f>HLOOKUP(A6,Bonus_Trans,2,0)</f>
        <v>4000</v>
      </c>
    </row>
    <row r="8" spans="1:2" x14ac:dyDescent="0.3">
      <c r="A8" t="s">
        <v>55</v>
      </c>
    </row>
    <row r="10" spans="1:2" x14ac:dyDescent="0.3">
      <c r="A10" s="33" t="s">
        <v>40</v>
      </c>
      <c r="B10" s="33" t="s">
        <v>41</v>
      </c>
    </row>
    <row r="11" spans="1:2" x14ac:dyDescent="0.3">
      <c r="A11" s="2" t="s">
        <v>42</v>
      </c>
      <c r="B11" s="2">
        <f>HLOOKUP(A11,Bonus_Trans,2,0)</f>
        <v>0</v>
      </c>
    </row>
    <row r="13" spans="1:2" x14ac:dyDescent="0.3">
      <c r="A13" t="s">
        <v>56</v>
      </c>
    </row>
    <row r="15" spans="1:2" x14ac:dyDescent="0.3">
      <c r="A15" s="33" t="s">
        <v>40</v>
      </c>
      <c r="B15" s="33" t="s">
        <v>41</v>
      </c>
    </row>
    <row r="16" spans="1:2" x14ac:dyDescent="0.3">
      <c r="A16" s="2" t="s">
        <v>43</v>
      </c>
      <c r="B16" s="2">
        <f>HLOOKUP(A16,Bonus_Trans,2,0)</f>
        <v>2000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DDC12-AC48-4C72-AD2E-213F944D7EDC}">
  <dimension ref="A1:B16"/>
  <sheetViews>
    <sheetView workbookViewId="0">
      <selection activeCell="A15" sqref="A15:B15"/>
    </sheetView>
  </sheetViews>
  <sheetFormatPr defaultRowHeight="14.4" x14ac:dyDescent="0.3"/>
  <cols>
    <col min="1" max="1" width="9.44140625" bestFit="1" customWidth="1"/>
    <col min="2" max="2" width="17.77734375" bestFit="1" customWidth="1"/>
  </cols>
  <sheetData>
    <row r="1" spans="1:2" x14ac:dyDescent="0.3">
      <c r="A1" s="4" t="s">
        <v>57</v>
      </c>
    </row>
    <row r="3" spans="1:2" x14ac:dyDescent="0.3">
      <c r="A3" t="s">
        <v>58</v>
      </c>
    </row>
    <row r="5" spans="1:2" x14ac:dyDescent="0.3">
      <c r="A5" s="33" t="s">
        <v>0</v>
      </c>
      <c r="B5" s="33" t="s">
        <v>39</v>
      </c>
    </row>
    <row r="6" spans="1:2" x14ac:dyDescent="0.3">
      <c r="A6" s="2">
        <v>103</v>
      </c>
      <c r="B6" s="6">
        <f>INDEX(Perormance_Score,MATCH('INDEX-MATCH'!A6,Performance!A1:A9,0))</f>
        <v>0.91666666666666663</v>
      </c>
    </row>
    <row r="8" spans="1:2" x14ac:dyDescent="0.3">
      <c r="A8" t="s">
        <v>59</v>
      </c>
    </row>
    <row r="10" spans="1:2" x14ac:dyDescent="0.3">
      <c r="A10" s="33" t="s">
        <v>0</v>
      </c>
      <c r="B10" s="33" t="s">
        <v>2</v>
      </c>
    </row>
    <row r="11" spans="1:2" x14ac:dyDescent="0.3">
      <c r="A11" s="2">
        <v>107</v>
      </c>
      <c r="B11" s="6" t="str">
        <f>INDEX(Employee_Master!C1:C9,MATCH('INDEX-MATCH'!A11,Employee_Master!A1:A9,0))</f>
        <v>Finance</v>
      </c>
    </row>
    <row r="13" spans="1:2" x14ac:dyDescent="0.3">
      <c r="A13" t="s">
        <v>60</v>
      </c>
    </row>
    <row r="15" spans="1:2" x14ac:dyDescent="0.3">
      <c r="A15" s="33" t="s">
        <v>1</v>
      </c>
      <c r="B15" s="33" t="s">
        <v>0</v>
      </c>
    </row>
    <row r="16" spans="1:2" x14ac:dyDescent="0.3">
      <c r="A16" s="2" t="s">
        <v>18</v>
      </c>
      <c r="B16" s="7">
        <f>INDEX(Employee_Master!A1:A9,MATCH('INDEX-MATCH'!A16,Employee_Master!B1:B9,0))</f>
        <v>104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61276-8A01-42CE-9808-323A51E5DBD9}">
  <dimension ref="A1:B25"/>
  <sheetViews>
    <sheetView workbookViewId="0">
      <selection activeCell="A17" sqref="A17:B17"/>
    </sheetView>
  </sheetViews>
  <sheetFormatPr defaultRowHeight="14.4" x14ac:dyDescent="0.3"/>
  <cols>
    <col min="2" max="2" width="17.77734375" bestFit="1" customWidth="1"/>
  </cols>
  <sheetData>
    <row r="1" spans="1:2" x14ac:dyDescent="0.3">
      <c r="A1" s="4" t="s">
        <v>61</v>
      </c>
    </row>
    <row r="3" spans="1:2" x14ac:dyDescent="0.3">
      <c r="A3" t="s">
        <v>62</v>
      </c>
    </row>
    <row r="5" spans="1:2" x14ac:dyDescent="0.3">
      <c r="A5" s="33" t="s">
        <v>0</v>
      </c>
      <c r="B5" s="33" t="s">
        <v>35</v>
      </c>
    </row>
    <row r="6" spans="1:2" x14ac:dyDescent="0.3">
      <c r="A6" s="2">
        <v>101</v>
      </c>
      <c r="B6" s="3">
        <v>0.91666666666666663</v>
      </c>
    </row>
    <row r="7" spans="1:2" x14ac:dyDescent="0.3">
      <c r="A7" s="2">
        <v>102</v>
      </c>
      <c r="B7" s="3">
        <v>0.83333333333333337</v>
      </c>
    </row>
    <row r="8" spans="1:2" x14ac:dyDescent="0.3">
      <c r="A8" s="2">
        <v>103</v>
      </c>
      <c r="B8" s="3">
        <v>0.75</v>
      </c>
    </row>
    <row r="9" spans="1:2" x14ac:dyDescent="0.3">
      <c r="A9" s="2">
        <v>104</v>
      </c>
      <c r="B9" s="3">
        <v>0.95833333333333337</v>
      </c>
    </row>
    <row r="10" spans="1:2" x14ac:dyDescent="0.3">
      <c r="A10" s="2">
        <v>105</v>
      </c>
      <c r="B10" s="3">
        <v>0.79166666666666663</v>
      </c>
    </row>
    <row r="11" spans="1:2" x14ac:dyDescent="0.3">
      <c r="A11" s="2">
        <v>106</v>
      </c>
      <c r="B11" s="3">
        <v>0.875</v>
      </c>
    </row>
    <row r="12" spans="1:2" x14ac:dyDescent="0.3">
      <c r="A12" s="2">
        <v>107</v>
      </c>
      <c r="B12" s="3">
        <v>0.83333333333333337</v>
      </c>
    </row>
    <row r="13" spans="1:2" x14ac:dyDescent="0.3">
      <c r="A13" s="2">
        <v>108</v>
      </c>
      <c r="B13" s="3">
        <v>1</v>
      </c>
    </row>
    <row r="15" spans="1:2" x14ac:dyDescent="0.3">
      <c r="A15" t="s">
        <v>63</v>
      </c>
    </row>
    <row r="17" spans="1:2" x14ac:dyDescent="0.3">
      <c r="A17" s="33" t="s">
        <v>0</v>
      </c>
      <c r="B17" s="33" t="s">
        <v>39</v>
      </c>
    </row>
    <row r="18" spans="1:2" x14ac:dyDescent="0.3">
      <c r="A18" s="2">
        <v>101</v>
      </c>
      <c r="B18" s="5">
        <v>0.9</v>
      </c>
    </row>
    <row r="19" spans="1:2" x14ac:dyDescent="0.3">
      <c r="A19" s="2">
        <v>102</v>
      </c>
      <c r="B19" s="5">
        <v>0.8</v>
      </c>
    </row>
    <row r="20" spans="1:2" x14ac:dyDescent="0.3">
      <c r="A20" s="2">
        <v>103</v>
      </c>
      <c r="B20" s="5">
        <v>0.91666666666666663</v>
      </c>
    </row>
    <row r="21" spans="1:2" x14ac:dyDescent="0.3">
      <c r="A21" s="2">
        <v>104</v>
      </c>
      <c r="B21" s="5">
        <v>0.66666666666666663</v>
      </c>
    </row>
    <row r="22" spans="1:2" x14ac:dyDescent="0.3">
      <c r="A22" s="2">
        <v>105</v>
      </c>
      <c r="B22" s="5">
        <v>0.89090909090909087</v>
      </c>
    </row>
    <row r="23" spans="1:2" x14ac:dyDescent="0.3">
      <c r="A23" s="2">
        <v>106</v>
      </c>
      <c r="B23" s="5">
        <v>0.91666666666666663</v>
      </c>
    </row>
    <row r="24" spans="1:2" x14ac:dyDescent="0.3">
      <c r="A24" s="2">
        <v>107</v>
      </c>
      <c r="B24" s="5">
        <v>0.73076923076923073</v>
      </c>
    </row>
    <row r="25" spans="1:2" x14ac:dyDescent="0.3">
      <c r="A25" s="2">
        <v>108</v>
      </c>
      <c r="B25" s="5">
        <v>0.95238095238095233</v>
      </c>
    </row>
  </sheetData>
  <conditionalFormatting sqref="A5:B5 A6:A13">
    <cfRule type="expression" dxfId="3" priority="3">
      <formula>$B$6:$B$13&lt;0.85</formula>
    </cfRule>
    <cfRule type="expression" dxfId="2" priority="4">
      <formula>$B$6:$B$13&lt;85%</formula>
    </cfRule>
  </conditionalFormatting>
  <conditionalFormatting sqref="B6:B13">
    <cfRule type="cellIs" dxfId="1" priority="2" operator="lessThan">
      <formula>0.85</formula>
    </cfRule>
  </conditionalFormatting>
  <conditionalFormatting sqref="B18:B25">
    <cfRule type="top10" dxfId="0" priority="1" rank="3"/>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E8AA-9381-4F83-B158-3F97B4ADBDD4}">
  <sheetPr filterMode="1"/>
  <dimension ref="A1:F25"/>
  <sheetViews>
    <sheetView workbookViewId="0">
      <selection activeCell="A17" sqref="A17:E17"/>
    </sheetView>
  </sheetViews>
  <sheetFormatPr defaultRowHeight="14.4" x14ac:dyDescent="0.3"/>
  <cols>
    <col min="1" max="1" width="9.77734375" bestFit="1" customWidth="1"/>
    <col min="2" max="2" width="10" bestFit="1" customWidth="1"/>
    <col min="3" max="3" width="14.5546875" bestFit="1" customWidth="1"/>
    <col min="4" max="4" width="14.109375" bestFit="1" customWidth="1"/>
    <col min="5" max="5" width="15.5546875" bestFit="1" customWidth="1"/>
    <col min="6" max="6" width="8.5546875" bestFit="1" customWidth="1"/>
  </cols>
  <sheetData>
    <row r="1" spans="1:6" x14ac:dyDescent="0.3">
      <c r="A1" s="4" t="s">
        <v>65</v>
      </c>
    </row>
    <row r="3" spans="1:6" x14ac:dyDescent="0.3">
      <c r="A3" t="s">
        <v>64</v>
      </c>
    </row>
    <row r="5" spans="1:6" x14ac:dyDescent="0.3">
      <c r="A5" s="33" t="s">
        <v>0</v>
      </c>
      <c r="B5" s="33" t="s">
        <v>1</v>
      </c>
      <c r="C5" s="33" t="s">
        <v>2</v>
      </c>
      <c r="D5" s="33" t="s">
        <v>3</v>
      </c>
      <c r="E5" s="33" t="s">
        <v>4</v>
      </c>
      <c r="F5" s="33" t="s">
        <v>5</v>
      </c>
    </row>
    <row r="6" spans="1:6" x14ac:dyDescent="0.3">
      <c r="A6" s="2">
        <v>107</v>
      </c>
      <c r="B6" s="2" t="s">
        <v>26</v>
      </c>
      <c r="C6" s="2" t="s">
        <v>27</v>
      </c>
      <c r="D6" s="2" t="s">
        <v>28</v>
      </c>
      <c r="E6" s="2">
        <v>40000</v>
      </c>
      <c r="F6" s="2" t="s">
        <v>29</v>
      </c>
    </row>
    <row r="7" spans="1:6" x14ac:dyDescent="0.3">
      <c r="A7" s="2">
        <v>102</v>
      </c>
      <c r="B7" s="2" t="s">
        <v>10</v>
      </c>
      <c r="C7" s="2" t="s">
        <v>11</v>
      </c>
      <c r="D7" s="2" t="s">
        <v>12</v>
      </c>
      <c r="E7" s="2">
        <v>35000</v>
      </c>
      <c r="F7" s="2" t="s">
        <v>13</v>
      </c>
    </row>
    <row r="8" spans="1:6" x14ac:dyDescent="0.3">
      <c r="A8" s="2">
        <v>108</v>
      </c>
      <c r="B8" s="2" t="s">
        <v>30</v>
      </c>
      <c r="C8" s="2" t="s">
        <v>11</v>
      </c>
      <c r="D8" s="2" t="s">
        <v>31</v>
      </c>
      <c r="E8" s="2">
        <v>36000</v>
      </c>
      <c r="F8" s="2" t="s">
        <v>13</v>
      </c>
    </row>
    <row r="9" spans="1:6" x14ac:dyDescent="0.3">
      <c r="A9" s="2">
        <v>106</v>
      </c>
      <c r="B9" s="2" t="s">
        <v>24</v>
      </c>
      <c r="C9" s="2" t="s">
        <v>15</v>
      </c>
      <c r="D9" s="2" t="s">
        <v>25</v>
      </c>
      <c r="E9" s="2">
        <v>42000</v>
      </c>
      <c r="F9" s="2" t="s">
        <v>17</v>
      </c>
    </row>
    <row r="10" spans="1:6" x14ac:dyDescent="0.3">
      <c r="A10" s="2">
        <v>103</v>
      </c>
      <c r="B10" s="2" t="s">
        <v>14</v>
      </c>
      <c r="C10" s="2" t="s">
        <v>15</v>
      </c>
      <c r="D10" s="2" t="s">
        <v>16</v>
      </c>
      <c r="E10" s="2">
        <v>45000</v>
      </c>
      <c r="F10" s="2" t="s">
        <v>17</v>
      </c>
    </row>
    <row r="11" spans="1:6" x14ac:dyDescent="0.3">
      <c r="A11" s="2">
        <v>104</v>
      </c>
      <c r="B11" s="2" t="s">
        <v>18</v>
      </c>
      <c r="C11" s="2" t="s">
        <v>19</v>
      </c>
      <c r="D11" s="2" t="s">
        <v>20</v>
      </c>
      <c r="E11" s="2">
        <v>30000</v>
      </c>
      <c r="F11" s="2" t="s">
        <v>21</v>
      </c>
    </row>
    <row r="12" spans="1:6" x14ac:dyDescent="0.3">
      <c r="A12" s="2">
        <v>105</v>
      </c>
      <c r="B12" s="2" t="s">
        <v>22</v>
      </c>
      <c r="C12" s="2" t="s">
        <v>7</v>
      </c>
      <c r="D12" s="2" t="s">
        <v>23</v>
      </c>
      <c r="E12" s="2">
        <v>38000</v>
      </c>
      <c r="F12" s="2" t="s">
        <v>9</v>
      </c>
    </row>
    <row r="13" spans="1:6" x14ac:dyDescent="0.3">
      <c r="A13" s="2">
        <v>101</v>
      </c>
      <c r="B13" s="2" t="s">
        <v>6</v>
      </c>
      <c r="C13" s="2" t="s">
        <v>7</v>
      </c>
      <c r="D13" s="2" t="s">
        <v>8</v>
      </c>
      <c r="E13" s="2">
        <v>32000</v>
      </c>
      <c r="F13" s="2" t="s">
        <v>9</v>
      </c>
    </row>
    <row r="15" spans="1:6" x14ac:dyDescent="0.3">
      <c r="A15" t="s">
        <v>66</v>
      </c>
    </row>
    <row r="17" spans="1:5" x14ac:dyDescent="0.3">
      <c r="A17" s="33" t="s">
        <v>0</v>
      </c>
      <c r="B17" s="33" t="s">
        <v>32</v>
      </c>
      <c r="C17" s="33" t="s">
        <v>33</v>
      </c>
      <c r="D17" s="33" t="s">
        <v>34</v>
      </c>
      <c r="E17" s="33" t="s">
        <v>35</v>
      </c>
    </row>
    <row r="18" spans="1:5" x14ac:dyDescent="0.3">
      <c r="A18" s="2">
        <v>108</v>
      </c>
      <c r="B18" s="2" t="s">
        <v>36</v>
      </c>
      <c r="C18" s="2">
        <v>24</v>
      </c>
      <c r="D18" s="2">
        <v>0</v>
      </c>
      <c r="E18" s="2">
        <v>1</v>
      </c>
    </row>
    <row r="19" spans="1:5" hidden="1" x14ac:dyDescent="0.3">
      <c r="A19" s="2">
        <v>102</v>
      </c>
      <c r="B19" s="2" t="s">
        <v>68</v>
      </c>
      <c r="C19" s="2">
        <v>20</v>
      </c>
      <c r="D19" s="2">
        <v>4</v>
      </c>
      <c r="E19" s="2">
        <v>0.83333333333333337</v>
      </c>
    </row>
    <row r="20" spans="1:5" x14ac:dyDescent="0.3">
      <c r="A20" s="2">
        <v>101</v>
      </c>
      <c r="B20" s="2" t="s">
        <v>36</v>
      </c>
      <c r="C20" s="2">
        <v>22</v>
      </c>
      <c r="D20" s="2">
        <v>2</v>
      </c>
      <c r="E20" s="2">
        <v>0.91666666666666663</v>
      </c>
    </row>
    <row r="21" spans="1:5" hidden="1" x14ac:dyDescent="0.3">
      <c r="A21" s="2">
        <v>104</v>
      </c>
      <c r="B21" s="2" t="s">
        <v>67</v>
      </c>
      <c r="C21" s="2">
        <v>23</v>
      </c>
      <c r="D21" s="2">
        <v>1</v>
      </c>
      <c r="E21" s="2">
        <v>0.95833333333333337</v>
      </c>
    </row>
    <row r="22" spans="1:5" x14ac:dyDescent="0.3">
      <c r="A22" s="2">
        <v>106</v>
      </c>
      <c r="B22" s="2" t="s">
        <v>36</v>
      </c>
      <c r="C22" s="2">
        <v>21</v>
      </c>
      <c r="D22" s="2">
        <v>3</v>
      </c>
      <c r="E22" s="2">
        <v>0.875</v>
      </c>
    </row>
    <row r="23" spans="1:5" x14ac:dyDescent="0.3">
      <c r="A23" s="2">
        <v>105</v>
      </c>
      <c r="B23" s="2" t="s">
        <v>36</v>
      </c>
      <c r="C23" s="2">
        <v>19</v>
      </c>
      <c r="D23" s="2">
        <v>5</v>
      </c>
      <c r="E23" s="2">
        <v>0.79166666666666663</v>
      </c>
    </row>
    <row r="24" spans="1:5" hidden="1" x14ac:dyDescent="0.3">
      <c r="A24" s="2">
        <v>107</v>
      </c>
      <c r="B24" s="2" t="s">
        <v>67</v>
      </c>
      <c r="C24" s="2">
        <v>20</v>
      </c>
      <c r="D24" s="2">
        <v>4</v>
      </c>
      <c r="E24" s="2">
        <v>0.83333333333333337</v>
      </c>
    </row>
    <row r="25" spans="1:5" x14ac:dyDescent="0.3">
      <c r="A25" s="2">
        <v>103</v>
      </c>
      <c r="B25" s="2" t="s">
        <v>36</v>
      </c>
      <c r="C25" s="2">
        <v>18</v>
      </c>
      <c r="D25" s="2">
        <v>6</v>
      </c>
      <c r="E25" s="2">
        <v>0.75</v>
      </c>
    </row>
  </sheetData>
  <autoFilter ref="A17:E25" xr:uid="{11CAE8AA-9381-4F83-B158-3F97B4ADBDD4}">
    <filterColumn colId="1">
      <filters>
        <filter val="Jan"/>
      </filters>
    </filterColumn>
    <sortState xmlns:xlrd2="http://schemas.microsoft.com/office/spreadsheetml/2017/richdata2" ref="A18:E25">
      <sortCondition descending="1" ref="C18:C25"/>
    </sortState>
  </autoFilter>
  <sortState xmlns:xlrd2="http://schemas.microsoft.com/office/spreadsheetml/2017/richdata2" ref="A6:F13">
    <sortCondition ref="C6:C13"/>
    <sortCondition ref="D6:D13"/>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BF801-3F12-40F3-AF20-8B8374A3D9AA}">
  <dimension ref="A1:K75"/>
  <sheetViews>
    <sheetView topLeftCell="A48" workbookViewId="0">
      <selection activeCell="C64" sqref="C64"/>
    </sheetView>
  </sheetViews>
  <sheetFormatPr defaultRowHeight="14.4" x14ac:dyDescent="0.3"/>
  <cols>
    <col min="1" max="1" width="12.5546875" bestFit="1" customWidth="1"/>
    <col min="2" max="2" width="27.5546875" bestFit="1" customWidth="1"/>
  </cols>
  <sheetData>
    <row r="1" spans="1:2" x14ac:dyDescent="0.3">
      <c r="A1" s="4" t="s">
        <v>71</v>
      </c>
    </row>
    <row r="2" spans="1:2" x14ac:dyDescent="0.3">
      <c r="A2" s="4"/>
    </row>
    <row r="3" spans="1:2" x14ac:dyDescent="0.3">
      <c r="A3" t="s">
        <v>72</v>
      </c>
    </row>
    <row r="5" spans="1:2" x14ac:dyDescent="0.3">
      <c r="A5" s="17" t="s">
        <v>69</v>
      </c>
      <c r="B5" t="s">
        <v>73</v>
      </c>
    </row>
    <row r="6" spans="1:2" x14ac:dyDescent="0.3">
      <c r="A6" s="18" t="s">
        <v>27</v>
      </c>
      <c r="B6">
        <v>1</v>
      </c>
    </row>
    <row r="7" spans="1:2" x14ac:dyDescent="0.3">
      <c r="A7" s="18" t="s">
        <v>11</v>
      </c>
      <c r="B7">
        <v>2</v>
      </c>
    </row>
    <row r="8" spans="1:2" x14ac:dyDescent="0.3">
      <c r="A8" s="18" t="s">
        <v>15</v>
      </c>
      <c r="B8">
        <v>2</v>
      </c>
    </row>
    <row r="9" spans="1:2" x14ac:dyDescent="0.3">
      <c r="A9" s="18" t="s">
        <v>19</v>
      </c>
      <c r="B9">
        <v>1</v>
      </c>
    </row>
    <row r="10" spans="1:2" x14ac:dyDescent="0.3">
      <c r="A10" s="18" t="s">
        <v>7</v>
      </c>
      <c r="B10">
        <v>2</v>
      </c>
    </row>
    <row r="11" spans="1:2" x14ac:dyDescent="0.3">
      <c r="A11" s="18" t="s">
        <v>70</v>
      </c>
      <c r="B11">
        <v>8</v>
      </c>
    </row>
    <row r="13" spans="1:2" x14ac:dyDescent="0.3">
      <c r="A13" t="s">
        <v>74</v>
      </c>
    </row>
    <row r="15" spans="1:2" x14ac:dyDescent="0.3">
      <c r="A15" s="17" t="s">
        <v>69</v>
      </c>
      <c r="B15" t="s">
        <v>75</v>
      </c>
    </row>
    <row r="16" spans="1:2" x14ac:dyDescent="0.3">
      <c r="A16" s="18">
        <v>101</v>
      </c>
      <c r="B16" s="19">
        <v>0.9</v>
      </c>
    </row>
    <row r="17" spans="1:2" x14ac:dyDescent="0.3">
      <c r="A17" s="18">
        <v>102</v>
      </c>
      <c r="B17" s="19">
        <v>0.8</v>
      </c>
    </row>
    <row r="18" spans="1:2" x14ac:dyDescent="0.3">
      <c r="A18" s="18">
        <v>103</v>
      </c>
      <c r="B18" s="19">
        <v>0.91666666666666663</v>
      </c>
    </row>
    <row r="19" spans="1:2" x14ac:dyDescent="0.3">
      <c r="A19" s="18">
        <v>104</v>
      </c>
      <c r="B19" s="19">
        <v>0.66666666666666663</v>
      </c>
    </row>
    <row r="20" spans="1:2" x14ac:dyDescent="0.3">
      <c r="A20" s="18">
        <v>105</v>
      </c>
      <c r="B20" s="19">
        <v>0.89090909090909087</v>
      </c>
    </row>
    <row r="21" spans="1:2" x14ac:dyDescent="0.3">
      <c r="A21" s="18">
        <v>106</v>
      </c>
      <c r="B21" s="19">
        <v>0.91666666666666663</v>
      </c>
    </row>
    <row r="22" spans="1:2" x14ac:dyDescent="0.3">
      <c r="A22" s="18">
        <v>107</v>
      </c>
      <c r="B22" s="19">
        <v>0.73076923076923073</v>
      </c>
    </row>
    <row r="23" spans="1:2" x14ac:dyDescent="0.3">
      <c r="A23" s="18">
        <v>108</v>
      </c>
      <c r="B23" s="19">
        <v>0.95238095238095233</v>
      </c>
    </row>
    <row r="24" spans="1:2" x14ac:dyDescent="0.3">
      <c r="A24" s="18" t="s">
        <v>70</v>
      </c>
      <c r="B24">
        <v>0.84675740925740928</v>
      </c>
    </row>
    <row r="26" spans="1:2" x14ac:dyDescent="0.3">
      <c r="A26" t="s">
        <v>76</v>
      </c>
    </row>
    <row r="28" spans="1:2" x14ac:dyDescent="0.3">
      <c r="A28" s="17" t="s">
        <v>69</v>
      </c>
      <c r="B28" t="s">
        <v>77</v>
      </c>
    </row>
    <row r="29" spans="1:2" x14ac:dyDescent="0.3">
      <c r="A29" s="18">
        <v>101</v>
      </c>
      <c r="B29" s="19">
        <v>0.91666666666666663</v>
      </c>
    </row>
    <row r="30" spans="1:2" x14ac:dyDescent="0.3">
      <c r="A30" s="18">
        <v>102</v>
      </c>
      <c r="B30" s="19">
        <v>0.83333333333333337</v>
      </c>
    </row>
    <row r="31" spans="1:2" x14ac:dyDescent="0.3">
      <c r="A31" s="18">
        <v>103</v>
      </c>
      <c r="B31" s="19">
        <v>0.75</v>
      </c>
    </row>
    <row r="32" spans="1:2" x14ac:dyDescent="0.3">
      <c r="A32" s="18">
        <v>104</v>
      </c>
      <c r="B32" s="19">
        <v>0.95833333333333337</v>
      </c>
    </row>
    <row r="33" spans="1:2" x14ac:dyDescent="0.3">
      <c r="A33" s="18">
        <v>105</v>
      </c>
      <c r="B33" s="19">
        <v>0.79166666666666663</v>
      </c>
    </row>
    <row r="34" spans="1:2" x14ac:dyDescent="0.3">
      <c r="A34" s="18">
        <v>106</v>
      </c>
      <c r="B34" s="19">
        <v>0.875</v>
      </c>
    </row>
    <row r="35" spans="1:2" x14ac:dyDescent="0.3">
      <c r="A35" s="18">
        <v>107</v>
      </c>
      <c r="B35" s="19">
        <v>0.83333333333333337</v>
      </c>
    </row>
    <row r="36" spans="1:2" x14ac:dyDescent="0.3">
      <c r="A36" s="18">
        <v>108</v>
      </c>
      <c r="B36" s="19">
        <v>1</v>
      </c>
    </row>
    <row r="37" spans="1:2" x14ac:dyDescent="0.3">
      <c r="A37" s="18" t="s">
        <v>70</v>
      </c>
      <c r="B37">
        <v>0.86979166666666663</v>
      </c>
    </row>
    <row r="39" spans="1:2" x14ac:dyDescent="0.3">
      <c r="A39" t="s">
        <v>78</v>
      </c>
    </row>
    <row r="41" spans="1:2" x14ac:dyDescent="0.3">
      <c r="A41" s="17" t="s">
        <v>69</v>
      </c>
      <c r="B41" t="s">
        <v>73</v>
      </c>
    </row>
    <row r="42" spans="1:2" x14ac:dyDescent="0.3">
      <c r="A42" s="18" t="s">
        <v>13</v>
      </c>
      <c r="B42">
        <v>2</v>
      </c>
    </row>
    <row r="43" spans="1:2" x14ac:dyDescent="0.3">
      <c r="A43" s="18" t="s">
        <v>21</v>
      </c>
      <c r="B43">
        <v>1</v>
      </c>
    </row>
    <row r="44" spans="1:2" x14ac:dyDescent="0.3">
      <c r="A44" s="18" t="s">
        <v>29</v>
      </c>
      <c r="B44">
        <v>1</v>
      </c>
    </row>
    <row r="45" spans="1:2" x14ac:dyDescent="0.3">
      <c r="A45" s="18" t="s">
        <v>9</v>
      </c>
      <c r="B45">
        <v>2</v>
      </c>
    </row>
    <row r="46" spans="1:2" x14ac:dyDescent="0.3">
      <c r="A46" s="18" t="s">
        <v>17</v>
      </c>
      <c r="B46">
        <v>2</v>
      </c>
    </row>
    <row r="47" spans="1:2" x14ac:dyDescent="0.3">
      <c r="A47" s="18" t="s">
        <v>70</v>
      </c>
      <c r="B47">
        <v>8</v>
      </c>
    </row>
    <row r="49" spans="1:11" x14ac:dyDescent="0.3">
      <c r="A49" s="18" t="s">
        <v>79</v>
      </c>
    </row>
    <row r="51" spans="1:11" x14ac:dyDescent="0.3">
      <c r="A51" s="17" t="s">
        <v>69</v>
      </c>
      <c r="B51" t="s">
        <v>75</v>
      </c>
    </row>
    <row r="52" spans="1:11" x14ac:dyDescent="0.3">
      <c r="A52" s="18">
        <v>108</v>
      </c>
      <c r="B52" s="19">
        <v>0.95238095238095233</v>
      </c>
    </row>
    <row r="53" spans="1:11" x14ac:dyDescent="0.3">
      <c r="A53" s="18">
        <v>103</v>
      </c>
      <c r="B53" s="19">
        <v>0.91666666666666663</v>
      </c>
    </row>
    <row r="54" spans="1:11" x14ac:dyDescent="0.3">
      <c r="A54" s="18">
        <v>106</v>
      </c>
      <c r="B54" s="19">
        <v>0.91666666666666663</v>
      </c>
    </row>
    <row r="55" spans="1:11" x14ac:dyDescent="0.3">
      <c r="A55" s="18" t="s">
        <v>70</v>
      </c>
      <c r="B55">
        <v>0.92857142857142849</v>
      </c>
    </row>
    <row r="58" spans="1:11" x14ac:dyDescent="0.3">
      <c r="A58" s="8"/>
      <c r="B58" s="9"/>
      <c r="C58" s="10"/>
      <c r="E58" s="8"/>
      <c r="F58" s="9"/>
      <c r="G58" s="10"/>
      <c r="I58" s="8"/>
      <c r="J58" s="9"/>
      <c r="K58" s="10"/>
    </row>
    <row r="59" spans="1:11" x14ac:dyDescent="0.3">
      <c r="A59" s="11"/>
      <c r="B59" s="12"/>
      <c r="C59" s="13"/>
      <c r="E59" s="11"/>
      <c r="F59" s="12"/>
      <c r="G59" s="13"/>
      <c r="I59" s="11"/>
      <c r="J59" s="12"/>
      <c r="K59" s="13"/>
    </row>
    <row r="60" spans="1:11" x14ac:dyDescent="0.3">
      <c r="A60" s="11"/>
      <c r="B60" s="12"/>
      <c r="C60" s="13"/>
      <c r="E60" s="11"/>
      <c r="F60" s="12"/>
      <c r="G60" s="13"/>
      <c r="I60" s="11"/>
      <c r="J60" s="12"/>
      <c r="K60" s="13"/>
    </row>
    <row r="61" spans="1:11" x14ac:dyDescent="0.3">
      <c r="A61" s="11"/>
      <c r="B61" s="12"/>
      <c r="C61" s="13"/>
      <c r="E61" s="11"/>
      <c r="F61" s="12"/>
      <c r="G61" s="13"/>
      <c r="I61" s="11"/>
      <c r="J61" s="12"/>
      <c r="K61" s="13"/>
    </row>
    <row r="62" spans="1:11" x14ac:dyDescent="0.3">
      <c r="A62" s="11"/>
      <c r="B62" s="12"/>
      <c r="C62" s="13"/>
      <c r="E62" s="11"/>
      <c r="F62" s="12"/>
      <c r="G62" s="13"/>
      <c r="I62" s="11"/>
      <c r="J62" s="12"/>
      <c r="K62" s="13"/>
    </row>
    <row r="63" spans="1:11" x14ac:dyDescent="0.3">
      <c r="A63" s="11"/>
      <c r="B63" s="12"/>
      <c r="C63" s="13"/>
      <c r="E63" s="11"/>
      <c r="F63" s="12"/>
      <c r="G63" s="13"/>
      <c r="I63" s="11"/>
      <c r="J63" s="12"/>
      <c r="K63" s="13"/>
    </row>
    <row r="64" spans="1:11" x14ac:dyDescent="0.3">
      <c r="A64" s="11"/>
      <c r="B64" s="12"/>
      <c r="C64" s="13"/>
      <c r="E64" s="11"/>
      <c r="F64" s="12"/>
      <c r="G64" s="13"/>
      <c r="I64" s="11"/>
      <c r="J64" s="12"/>
      <c r="K64" s="13"/>
    </row>
    <row r="65" spans="1:11" x14ac:dyDescent="0.3">
      <c r="A65" s="11"/>
      <c r="B65" s="12"/>
      <c r="C65" s="13"/>
      <c r="E65" s="11"/>
      <c r="F65" s="12"/>
      <c r="G65" s="13"/>
      <c r="I65" s="11"/>
      <c r="J65" s="12"/>
      <c r="K65" s="13"/>
    </row>
    <row r="66" spans="1:11" x14ac:dyDescent="0.3">
      <c r="A66" s="11"/>
      <c r="B66" s="12"/>
      <c r="C66" s="13"/>
      <c r="E66" s="11"/>
      <c r="F66" s="12"/>
      <c r="G66" s="13"/>
      <c r="I66" s="11"/>
      <c r="J66" s="12"/>
      <c r="K66" s="13"/>
    </row>
    <row r="67" spans="1:11" x14ac:dyDescent="0.3">
      <c r="A67" s="11"/>
      <c r="B67" s="12"/>
      <c r="C67" s="13"/>
      <c r="E67" s="11"/>
      <c r="F67" s="12"/>
      <c r="G67" s="13"/>
      <c r="I67" s="11"/>
      <c r="J67" s="12"/>
      <c r="K67" s="13"/>
    </row>
    <row r="68" spans="1:11" x14ac:dyDescent="0.3">
      <c r="A68" s="11"/>
      <c r="B68" s="12"/>
      <c r="C68" s="13"/>
      <c r="E68" s="11"/>
      <c r="F68" s="12"/>
      <c r="G68" s="13"/>
      <c r="I68" s="11"/>
      <c r="J68" s="12"/>
      <c r="K68" s="13"/>
    </row>
    <row r="69" spans="1:11" x14ac:dyDescent="0.3">
      <c r="A69" s="11"/>
      <c r="B69" s="12"/>
      <c r="C69" s="13"/>
      <c r="E69" s="11"/>
      <c r="F69" s="12"/>
      <c r="G69" s="13"/>
      <c r="I69" s="11"/>
      <c r="J69" s="12"/>
      <c r="K69" s="13"/>
    </row>
    <row r="70" spans="1:11" x14ac:dyDescent="0.3">
      <c r="A70" s="11"/>
      <c r="B70" s="12"/>
      <c r="C70" s="13"/>
      <c r="E70" s="11"/>
      <c r="F70" s="12"/>
      <c r="G70" s="13"/>
      <c r="I70" s="11"/>
      <c r="J70" s="12"/>
      <c r="K70" s="13"/>
    </row>
    <row r="71" spans="1:11" x14ac:dyDescent="0.3">
      <c r="A71" s="11"/>
      <c r="B71" s="12"/>
      <c r="C71" s="13"/>
      <c r="E71" s="11"/>
      <c r="F71" s="12"/>
      <c r="G71" s="13"/>
      <c r="I71" s="11"/>
      <c r="J71" s="12"/>
      <c r="K71" s="13"/>
    </row>
    <row r="72" spans="1:11" x14ac:dyDescent="0.3">
      <c r="A72" s="11"/>
      <c r="B72" s="12"/>
      <c r="C72" s="13"/>
      <c r="E72" s="11"/>
      <c r="F72" s="12"/>
      <c r="G72" s="13"/>
      <c r="I72" s="11"/>
      <c r="J72" s="12"/>
      <c r="K72" s="13"/>
    </row>
    <row r="73" spans="1:11" x14ac:dyDescent="0.3">
      <c r="A73" s="11"/>
      <c r="B73" s="12"/>
      <c r="C73" s="13"/>
      <c r="E73" s="11"/>
      <c r="F73" s="12"/>
      <c r="G73" s="13"/>
      <c r="I73" s="11"/>
      <c r="J73" s="12"/>
      <c r="K73" s="13"/>
    </row>
    <row r="74" spans="1:11" x14ac:dyDescent="0.3">
      <c r="A74" s="11"/>
      <c r="B74" s="12"/>
      <c r="C74" s="13"/>
      <c r="E74" s="11"/>
      <c r="F74" s="12"/>
      <c r="G74" s="13"/>
      <c r="I74" s="11"/>
      <c r="J74" s="12"/>
      <c r="K74" s="13"/>
    </row>
    <row r="75" spans="1:11" x14ac:dyDescent="0.3">
      <c r="A75" s="14"/>
      <c r="B75" s="15"/>
      <c r="C75" s="16"/>
      <c r="E75" s="14"/>
      <c r="F75" s="15"/>
      <c r="G75" s="16"/>
      <c r="I75" s="14"/>
      <c r="J75" s="15"/>
      <c r="K75" s="1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C2EBE-FD2C-43B0-AD03-8868803910CF}">
  <dimension ref="A1"/>
  <sheetViews>
    <sheetView tabSelected="1" zoomScaleNormal="100" workbookViewId="0">
      <selection activeCell="V19" sqref="V19"/>
    </sheetView>
  </sheetViews>
  <sheetFormatPr defaultRowHeight="14.4" x14ac:dyDescent="0.3"/>
  <cols>
    <col min="1" max="16384" width="8.88671875" style="3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7</vt:i4>
      </vt:variant>
    </vt:vector>
  </HeadingPairs>
  <TitlesOfParts>
    <vt:vector size="19" baseType="lpstr">
      <vt:lpstr>Employee_Master</vt:lpstr>
      <vt:lpstr>Bonus_Table</vt:lpstr>
      <vt:lpstr>Attendance</vt:lpstr>
      <vt:lpstr>Performance</vt:lpstr>
      <vt:lpstr>If_Statement</vt:lpstr>
      <vt:lpstr>VLOOKUP</vt:lpstr>
      <vt:lpstr>HLOOKUP</vt:lpstr>
      <vt:lpstr>INDEX-MATCH</vt:lpstr>
      <vt:lpstr>Conditional_Formating</vt:lpstr>
      <vt:lpstr>Sort _and_Filter</vt:lpstr>
      <vt:lpstr>Pivot_table</vt:lpstr>
      <vt:lpstr>DashBoard</vt:lpstr>
      <vt:lpstr>Attendance</vt:lpstr>
      <vt:lpstr>Attendances</vt:lpstr>
      <vt:lpstr>Bonus</vt:lpstr>
      <vt:lpstr>Bonus_Trans</vt:lpstr>
      <vt:lpstr>Emp</vt:lpstr>
      <vt:lpstr>Performance</vt:lpstr>
      <vt:lpstr>Perormance_Score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SUSMITA MONDAL</cp:lastModifiedBy>
  <dcterms:created xsi:type="dcterms:W3CDTF">2025-12-06T14:41:33Z</dcterms:created>
  <dcterms:modified xsi:type="dcterms:W3CDTF">2025-12-20T04:21:33Z</dcterms:modified>
</cp:coreProperties>
</file>